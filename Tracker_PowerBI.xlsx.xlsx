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eirc-my.sharepoint.com/personal/halzaben_meirc_com/Documents/Desktop/New - p/"/>
    </mc:Choice>
  </mc:AlternateContent>
  <xr:revisionPtr revIDLastSave="59" documentId="11_B46AB5F9B680A8B36AC71D9C28DB2EEBD58C991B" xr6:coauthVersionLast="47" xr6:coauthVersionMax="47" xr10:uidLastSave="{FD81F41D-DC8E-4A9D-B66D-14E68609DB7F}"/>
  <bookViews>
    <workbookView xWindow="-110" yWindow="-110" windowWidth="19420" windowHeight="11500" xr2:uid="{00000000-000D-0000-FFFF-FFFF00000000}"/>
  </bookViews>
  <sheets>
    <sheet name="Tracker_All" sheetId="1" r:id="rId1"/>
    <sheet name="README_PowerB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H27" i="1" s="1"/>
  <c r="I27" i="1" s="1"/>
  <c r="G27" i="1"/>
  <c r="G23" i="1"/>
  <c r="G24" i="1"/>
  <c r="G25" i="1"/>
  <c r="H26" i="1"/>
  <c r="I26" i="1" s="1"/>
  <c r="G26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H23" i="1"/>
  <c r="I23" i="1" s="1"/>
  <c r="H24" i="1"/>
  <c r="I24" i="1" s="1"/>
  <c r="H25" i="1"/>
  <c r="I25" i="1" s="1"/>
  <c r="F3" i="1" l="1"/>
  <c r="H3" i="1" s="1"/>
  <c r="I3" i="1" s="1"/>
  <c r="F4" i="1"/>
  <c r="H4" i="1" s="1"/>
  <c r="I4" i="1" s="1"/>
  <c r="F5" i="1"/>
  <c r="H5" i="1" s="1"/>
  <c r="I5" i="1" s="1"/>
  <c r="F6" i="1"/>
  <c r="H6" i="1" s="1"/>
  <c r="I6" i="1" s="1"/>
  <c r="F7" i="1"/>
  <c r="H7" i="1" s="1"/>
  <c r="I7" i="1" s="1"/>
  <c r="F8" i="1"/>
  <c r="H8" i="1" s="1"/>
  <c r="I8" i="1" s="1"/>
  <c r="F9" i="1"/>
  <c r="H9" i="1" s="1"/>
  <c r="I9" i="1" s="1"/>
  <c r="F10" i="1"/>
  <c r="H10" i="1" s="1"/>
  <c r="I10" i="1" s="1"/>
  <c r="F11" i="1"/>
  <c r="H11" i="1" s="1"/>
  <c r="I11" i="1" s="1"/>
  <c r="F12" i="1"/>
  <c r="H12" i="1" s="1"/>
  <c r="I12" i="1" s="1"/>
  <c r="F13" i="1"/>
  <c r="H13" i="1" s="1"/>
  <c r="I13" i="1" s="1"/>
  <c r="F14" i="1"/>
  <c r="H14" i="1" s="1"/>
  <c r="I14" i="1" s="1"/>
  <c r="F15" i="1"/>
  <c r="H15" i="1" s="1"/>
  <c r="I15" i="1" s="1"/>
  <c r="F16" i="1"/>
  <c r="H16" i="1" s="1"/>
  <c r="I16" i="1" s="1"/>
  <c r="F17" i="1"/>
  <c r="H17" i="1" s="1"/>
  <c r="I17" i="1" s="1"/>
  <c r="F18" i="1"/>
  <c r="H18" i="1" s="1"/>
  <c r="I18" i="1" s="1"/>
  <c r="F19" i="1"/>
  <c r="H19" i="1" s="1"/>
  <c r="I19" i="1" s="1"/>
  <c r="F20" i="1"/>
  <c r="H20" i="1" s="1"/>
  <c r="I20" i="1" s="1"/>
  <c r="F21" i="1"/>
  <c r="H21" i="1" s="1"/>
  <c r="I21" i="1" s="1"/>
  <c r="F22" i="1"/>
  <c r="H22" i="1" s="1"/>
  <c r="I22" i="1" s="1"/>
  <c r="H2" i="1" l="1"/>
  <c r="I2" i="1" s="1"/>
</calcChain>
</file>

<file path=xl/sharedStrings.xml><?xml version="1.0" encoding="utf-8"?>
<sst xmlns="http://schemas.openxmlformats.org/spreadsheetml/2006/main" count="177" uniqueCount="90">
  <si>
    <t>المصدر</t>
  </si>
  <si>
    <t>النوع</t>
  </si>
  <si>
    <t>الجهة</t>
  </si>
  <si>
    <t>البند</t>
  </si>
  <si>
    <t>تاريخ الانتهاء</t>
  </si>
  <si>
    <t>الأيام المتبقية</t>
  </si>
  <si>
    <t>بدء الإجراء (30 يوم قبل)</t>
  </si>
  <si>
    <t>الحالة</t>
  </si>
  <si>
    <t>الأولوية</t>
  </si>
  <si>
    <t>الملف المصدر</t>
  </si>
  <si>
    <t>ملاحظات</t>
  </si>
  <si>
    <t>جهة حكومية</t>
  </si>
  <si>
    <t>ZATCA Certificate</t>
  </si>
  <si>
    <t>ZATCA</t>
  </si>
  <si>
    <t>Main_Register.xlsx</t>
  </si>
  <si>
    <t>Nationalization Certificate</t>
  </si>
  <si>
    <t>Qiwa</t>
  </si>
  <si>
    <t>Nationalization Cert 7029908865 – CR32</t>
  </si>
  <si>
    <t>Supporting certificate added.</t>
  </si>
  <si>
    <t>Nationalization Cert 7033766317 – CR42</t>
  </si>
  <si>
    <t>Chamber Membership Certificate</t>
  </si>
  <si>
    <t>Riyadh Chamber</t>
  </si>
  <si>
    <t>COC Riyadh Chamber – CR32</t>
  </si>
  <si>
    <t>Commercial Registration Certificate</t>
  </si>
  <si>
    <t>Ministry of Commerce</t>
  </si>
  <si>
    <t>CR 32</t>
  </si>
  <si>
    <t>No expiry visible on face.</t>
  </si>
  <si>
    <t>TVTC License</t>
  </si>
  <si>
    <t>TVTC</t>
  </si>
  <si>
    <t>مقيم</t>
  </si>
  <si>
    <t>تأشيرة</t>
  </si>
  <si>
    <t>كريم اسامه محمد سالم</t>
  </si>
  <si>
    <t>تأشيرة كريم اسامه محمد سالم</t>
  </si>
  <si>
    <t>تفاصيل - مقيم.xlsx</t>
  </si>
  <si>
    <t>حالة التأشيرة: مستعمل</t>
  </si>
  <si>
    <t>إقامة</t>
  </si>
  <si>
    <t>مريم ايهاب محمود احمد همام</t>
  </si>
  <si>
    <t>إقامة مريم ايهاب محمود احمد همام</t>
  </si>
  <si>
    <t>رقم الإقامة: 2583134610</t>
  </si>
  <si>
    <t>SME Certificate</t>
  </si>
  <si>
    <t>Monshaat</t>
  </si>
  <si>
    <t>LINA AL ASHKAR</t>
  </si>
  <si>
    <t>تأشيرة LINA AL ASHKAR</t>
  </si>
  <si>
    <t>ساري سعيد تعمري القيسي</t>
  </si>
  <si>
    <t>تأشيرة ساري سعيد تعمري القيسي</t>
  </si>
  <si>
    <t>حالة التأشيرة: غير مستعملة</t>
  </si>
  <si>
    <t>GOSI Certificate</t>
  </si>
  <si>
    <t>GOSI</t>
  </si>
  <si>
    <t>MOHAMMED NAYAL</t>
  </si>
  <si>
    <t>تأشيرة MOHAMMED NAYAL</t>
  </si>
  <si>
    <t>National Address Record</t>
  </si>
  <si>
    <t>SPL</t>
  </si>
  <si>
    <t>National address 42</t>
  </si>
  <si>
    <t>إقامة ساري سعيد تعمري القيسي</t>
  </si>
  <si>
    <t>رقم الإقامة: 2555700976</t>
  </si>
  <si>
    <t>COC Riyadh Chamber – CR42</t>
  </si>
  <si>
    <t>CR 42</t>
  </si>
  <si>
    <t>Investment License</t>
  </si>
  <si>
    <t>Ministry of Investment</t>
  </si>
  <si>
    <t>Services Investment License</t>
  </si>
  <si>
    <t>إقامة كريم اسامه محمد سالم</t>
  </si>
  <si>
    <t>رقم الإقامة: 2570814836</t>
  </si>
  <si>
    <t>إقامة LINA AL ASHKAR</t>
  </si>
  <si>
    <t>رقم الإقامة: 2598378632</t>
  </si>
  <si>
    <t>إقامة MOHAMMED NAYAL</t>
  </si>
  <si>
    <t>رقم الإقامة: 2572607188</t>
  </si>
  <si>
    <t>National address 32</t>
  </si>
  <si>
    <t>VAT Certificate</t>
  </si>
  <si>
    <t>ZATCA / VAT</t>
  </si>
  <si>
    <t>VAT</t>
  </si>
  <si>
    <t>Uploaded doc is Tax Residency Cert.</t>
  </si>
  <si>
    <t>تأشيرة مريم ايهاب محمود احمد همام</t>
  </si>
  <si>
    <t>حالة التأشيرة: غير متوفر</t>
  </si>
  <si>
    <t>دليل استيراد Power BI</t>
  </si>
  <si>
    <t>١</t>
  </si>
  <si>
    <t>افتح Power BI Desktop → Home → Get Data → Excel Workbook</t>
  </si>
  <si>
    <t>٢</t>
  </si>
  <si>
    <t>اختر هذا الملف، ثم حدد ورقة Tracker_All فقط → Load</t>
  </si>
  <si>
    <t>٣</t>
  </si>
  <si>
    <t>Transform Data: تأكد أن عمود [تاريخ الانتهاء] نوعه Date</t>
  </si>
  <si>
    <t>٤</t>
  </si>
  <si>
    <t>تأكد أن [الأيام المتبقية] نوعه Whole Number</t>
  </si>
  <si>
    <t>٥</t>
  </si>
  <si>
    <t>أغلق Power Query Editor → Apply</t>
  </si>
  <si>
    <t>المقاييس – انسخها من ملف DAX_Measures.txt</t>
  </si>
  <si>
    <t>تصميم اللوحة – راجع ملف PowerBI_Design_Guide.pdf</t>
  </si>
  <si>
    <t>تحديث البيانات: كلما عدّلت هذا الملف، اضغط Refresh في Power BI</t>
  </si>
  <si>
    <t>مسار الملف: لا تغير اسم الملف أو مساره بعد ربطه بـ Power BI</t>
  </si>
  <si>
    <t>MOSI Certificate</t>
  </si>
  <si>
    <t>MOSI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</si>
</sst>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85FA5"/>
      <name val="Arial"/>
      <family val="2"/>
    </font>
    <font>
      <sz val="10"/>
      <color rgb="FF1A1A18"/>
      <name val="Arial"/>
      <family val="2"/>
    </font>
    <font>
      <b/>
      <sz val="14"/>
      <color rgb="FF1A1A18"/>
      <name val="Arial"/>
      <family val="2"/>
    </font>
    <font>
      <b/>
      <sz val="10"/>
      <color rgb="FF185FA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8"/>
      </patternFill>
    </fill>
    <fill>
      <patternFill patternType="solid">
        <fgColor rgb="FFFCEBEB"/>
      </patternFill>
    </fill>
    <fill>
      <patternFill patternType="solid">
        <fgColor rgb="FFFFF3DC"/>
      </patternFill>
    </fill>
    <fill>
      <patternFill patternType="solid">
        <fgColor rgb="FFF1EFE8"/>
      </patternFill>
    </fill>
  </fills>
  <borders count="2">
    <border>
      <left/>
      <right/>
      <top/>
      <bottom/>
      <diagonal/>
    </border>
    <border>
      <left style="thin">
        <color rgb="FFE0DDD6"/>
      </left>
      <right style="thin">
        <color rgb="FFE0DDD6"/>
      </right>
      <top style="thin">
        <color rgb="FFE0DDD6"/>
      </top>
      <bottom style="thin">
        <color rgb="FFE0DD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</cellXfs>
  <cellStyles count="1">
    <cellStyle name="Normal" xfId="0" builtinId="0"/>
  </cellStyles>
  <dxfs count="3">
    <dxf>
      <border outline="0">
        <left style="thin">
          <color rgb="FFE0DDD6"/>
        </left>
      </border>
    </dxf>
    <dxf>
      <fill>
        <patternFill patternType="none">
          <fgColor indexed="64"/>
          <bgColor auto="1"/>
        </patternFill>
      </fill>
    </dxf>
    <dxf>
      <border outline="0">
        <right style="thin">
          <color rgb="FFE0DDD6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_All" displayName="Tracker_All" ref="A1:K25">
  <tableColumns count="11">
    <tableColumn id="1" xr3:uid="{00000000-0010-0000-0000-000001000000}" name="المصدر"/>
    <tableColumn id="2" xr3:uid="{00000000-0010-0000-0000-000002000000}" name="النوع"/>
    <tableColumn id="3" xr3:uid="{00000000-0010-0000-0000-000003000000}" name="الجهة"/>
    <tableColumn id="4" xr3:uid="{00000000-0010-0000-0000-000004000000}" name="البند"/>
    <tableColumn id="5" xr3:uid="{00000000-0010-0000-0000-000005000000}" name="تاريخ الانتهاء"/>
    <tableColumn id="6" xr3:uid="{00000000-0010-0000-0000-000006000000}" name="الأيام المتبقية"/>
    <tableColumn id="7" xr3:uid="{00000000-0010-0000-0000-000007000000}" name="بدء الإجراء (30 يوم قبل)">
      <calculatedColumnFormula>IF(E2="","",E2-30)</calculatedColumnFormula>
    </tableColumn>
    <tableColumn id="8" xr3:uid="{00000000-0010-0000-0000-000008000000}" name="الحالة" dataDxfId="2">
      <calculatedColumnFormula>IF(E2="","بدون تاريخ",IF(F2&lt;0,"منتهي",IF(F2&lt;=30,"حرج",IF(F2&lt;=60,"قريب","ساري"))))</calculatedColumnFormula>
    </tableColumn>
    <tableColumn id="9" xr3:uid="{00000000-0010-0000-0000-000009000000}" name="الأولوية" dataDxfId="1">
      <calculatedColumnFormula>IF(H2="بدون تاريخ","مراجعة مطلوبة",IF(H2="منتهي","عالية",IF(H2="حرج","عالية",IF(H2="قريب","متوسطة","منخفضة"))))</calculatedColumnFormula>
    </tableColumn>
    <tableColumn id="10" xr3:uid="{00000000-0010-0000-0000-00000A000000}" name="الملف المصدر" dataDxfId="0"/>
    <tableColumn id="11" xr3:uid="{00000000-0010-0000-0000-00000B000000}" name="ملاحظ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="65" zoomScaleNormal="130" workbookViewId="0">
      <selection activeCell="B6" sqref="B6"/>
    </sheetView>
  </sheetViews>
  <sheetFormatPr defaultRowHeight="14.5" x14ac:dyDescent="0.35"/>
  <cols>
    <col min="1" max="1" width="14" customWidth="1"/>
    <col min="2" max="2" width="28" customWidth="1"/>
    <col min="3" max="3" width="24" customWidth="1"/>
    <col min="4" max="4" width="40" customWidth="1"/>
    <col min="5" max="5" width="18" customWidth="1"/>
    <col min="6" max="6" width="16" customWidth="1"/>
    <col min="7" max="7" width="24" customWidth="1"/>
    <col min="8" max="8" width="12" customWidth="1"/>
    <col min="9" max="9" width="14" customWidth="1"/>
    <col min="10" max="10" width="28" customWidth="1"/>
    <col min="11" max="11" width="40" customWidth="1"/>
  </cols>
  <sheetData>
    <row r="1" spans="1:11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13</v>
      </c>
      <c r="E2" s="3">
        <v>46507</v>
      </c>
      <c r="F2" s="4">
        <f ca="1">Tracker_All[[#This Row],[تاريخ الانتهاء]]-TODAY()</f>
        <v>358</v>
      </c>
      <c r="G2" s="3">
        <f>IF(E2="","",E2-30)</f>
        <v>46477</v>
      </c>
      <c r="H2" s="7" t="str">
        <f ca="1">IF(E2="","بدون تاريخ",IF(F2&lt;0,"منتهي",IF(F2&lt;=30,"حرج",IF(F2&lt;=60,"قريب","ساري"))))</f>
        <v>ساري</v>
      </c>
      <c r="I2" s="7" t="str">
        <f ca="1">IF(H2="بدون تاريخ","مراجعة مطلوبة",IF(H2="منتهي","عالية",IF(H2="حرج","عالية",IF(H2="قريب","متوسطة","منخفضة"))))</f>
        <v>منخفضة</v>
      </c>
      <c r="J2" s="2" t="s">
        <v>14</v>
      </c>
      <c r="K2" s="2"/>
    </row>
    <row r="3" spans="1:11" x14ac:dyDescent="0.35">
      <c r="A3" s="2" t="s">
        <v>11</v>
      </c>
      <c r="B3" s="2" t="s">
        <v>15</v>
      </c>
      <c r="C3" s="2" t="s">
        <v>16</v>
      </c>
      <c r="D3" s="2" t="s">
        <v>17</v>
      </c>
      <c r="E3" s="3">
        <v>46239</v>
      </c>
      <c r="F3" s="4">
        <f ca="1">Tracker_All[[#This Row],[تاريخ الانتهاء]]-TODAY()</f>
        <v>90</v>
      </c>
      <c r="G3" s="3">
        <f t="shared" ref="G3:G27" si="0">IF(E3="","",E3-30)</f>
        <v>46209</v>
      </c>
      <c r="H3" s="7" t="str">
        <f t="shared" ref="H3:H27" ca="1" si="1">IF(E3="","بدون تاريخ",IF(F3&lt;0,"منتهي",IF(F3&lt;=30,"حرج",IF(F3&lt;=60,"قريب","ساري"))))</f>
        <v>ساري</v>
      </c>
      <c r="I3" s="7" t="str">
        <f t="shared" ref="I3:I27" ca="1" si="2">IF(H3="بدون تاريخ","مراجعة مطلوبة",IF(H3="منتهي","عالية",IF(H3="حرج","عالية",IF(H3="قريب","متوسطة","منخفضة"))))</f>
        <v>منخفضة</v>
      </c>
      <c r="J3" s="2" t="s">
        <v>14</v>
      </c>
      <c r="K3" s="2" t="s">
        <v>18</v>
      </c>
    </row>
    <row r="4" spans="1:11" x14ac:dyDescent="0.35">
      <c r="A4" s="2" t="s">
        <v>11</v>
      </c>
      <c r="B4" s="2" t="s">
        <v>15</v>
      </c>
      <c r="C4" s="2" t="s">
        <v>16</v>
      </c>
      <c r="D4" s="2" t="s">
        <v>19</v>
      </c>
      <c r="E4" s="3">
        <v>46235</v>
      </c>
      <c r="F4" s="4">
        <f ca="1">Tracker_All[[#This Row],[تاريخ الانتهاء]]-TODAY()</f>
        <v>86</v>
      </c>
      <c r="G4" s="3">
        <f t="shared" si="0"/>
        <v>46205</v>
      </c>
      <c r="H4" s="7" t="str">
        <f t="shared" ca="1" si="1"/>
        <v>ساري</v>
      </c>
      <c r="I4" s="7" t="str">
        <f t="shared" ca="1" si="2"/>
        <v>منخفضة</v>
      </c>
      <c r="J4" s="2" t="s">
        <v>14</v>
      </c>
      <c r="K4" s="2" t="s">
        <v>18</v>
      </c>
    </row>
    <row r="5" spans="1:11" x14ac:dyDescent="0.35">
      <c r="A5" s="2" t="s">
        <v>11</v>
      </c>
      <c r="B5" s="2" t="s">
        <v>20</v>
      </c>
      <c r="C5" s="2" t="s">
        <v>21</v>
      </c>
      <c r="D5" s="2" t="s">
        <v>22</v>
      </c>
      <c r="E5" s="3">
        <v>46167</v>
      </c>
      <c r="F5" s="4">
        <f ca="1">Tracker_All[[#This Row],[تاريخ الانتهاء]]-TODAY()</f>
        <v>18</v>
      </c>
      <c r="G5" s="3">
        <f t="shared" si="0"/>
        <v>46137</v>
      </c>
      <c r="H5" s="7" t="str">
        <f t="shared" ca="1" si="1"/>
        <v>حرج</v>
      </c>
      <c r="I5" s="7" t="str">
        <f t="shared" ca="1" si="2"/>
        <v>عالية</v>
      </c>
      <c r="J5" s="2" t="s">
        <v>14</v>
      </c>
      <c r="K5" s="2" t="s">
        <v>18</v>
      </c>
    </row>
    <row r="6" spans="1:11" ht="25" x14ac:dyDescent="0.35">
      <c r="A6" s="2" t="s">
        <v>11</v>
      </c>
      <c r="B6" s="2" t="s">
        <v>23</v>
      </c>
      <c r="C6" s="2" t="s">
        <v>24</v>
      </c>
      <c r="D6" s="2" t="s">
        <v>25</v>
      </c>
      <c r="E6" s="3">
        <v>46167</v>
      </c>
      <c r="F6" s="4">
        <f ca="1">Tracker_All[[#This Row],[تاريخ الانتهاء]]-TODAY()</f>
        <v>18</v>
      </c>
      <c r="G6" s="3">
        <f t="shared" si="0"/>
        <v>46137</v>
      </c>
      <c r="H6" s="7" t="str">
        <f t="shared" ca="1" si="1"/>
        <v>حرج</v>
      </c>
      <c r="I6" s="7" t="str">
        <f t="shared" ca="1" si="2"/>
        <v>عالية</v>
      </c>
      <c r="J6" s="2" t="s">
        <v>14</v>
      </c>
      <c r="K6" s="2" t="s">
        <v>26</v>
      </c>
    </row>
    <row r="7" spans="1:11" x14ac:dyDescent="0.35">
      <c r="A7" s="2" t="s">
        <v>11</v>
      </c>
      <c r="B7" s="2" t="s">
        <v>27</v>
      </c>
      <c r="C7" s="2" t="s">
        <v>28</v>
      </c>
      <c r="D7" s="2" t="s">
        <v>28</v>
      </c>
      <c r="E7" s="3">
        <v>46951</v>
      </c>
      <c r="F7" s="4">
        <f ca="1">Tracker_All[[#This Row],[تاريخ الانتهاء]]-TODAY()</f>
        <v>802</v>
      </c>
      <c r="G7" s="3">
        <f t="shared" si="0"/>
        <v>46921</v>
      </c>
      <c r="H7" s="7" t="str">
        <f t="shared" ca="1" si="1"/>
        <v>ساري</v>
      </c>
      <c r="I7" s="7" t="str">
        <f t="shared" ca="1" si="2"/>
        <v>منخفضة</v>
      </c>
      <c r="J7" s="2" t="s">
        <v>14</v>
      </c>
      <c r="K7" s="2"/>
    </row>
    <row r="8" spans="1:11" x14ac:dyDescent="0.35">
      <c r="A8" s="5" t="s">
        <v>29</v>
      </c>
      <c r="B8" s="5" t="s">
        <v>30</v>
      </c>
      <c r="C8" s="5" t="s">
        <v>31</v>
      </c>
      <c r="D8" s="5" t="s">
        <v>32</v>
      </c>
      <c r="E8" s="6">
        <v>46172</v>
      </c>
      <c r="F8" s="4">
        <f ca="1">Tracker_All[[#This Row],[تاريخ الانتهاء]]-TODAY()</f>
        <v>23</v>
      </c>
      <c r="G8" s="3">
        <f t="shared" si="0"/>
        <v>46142</v>
      </c>
      <c r="H8" s="7" t="str">
        <f t="shared" ca="1" si="1"/>
        <v>حرج</v>
      </c>
      <c r="I8" s="7" t="str">
        <f t="shared" ca="1" si="2"/>
        <v>عالية</v>
      </c>
      <c r="J8" s="5" t="s">
        <v>33</v>
      </c>
      <c r="K8" s="5" t="s">
        <v>34</v>
      </c>
    </row>
    <row r="9" spans="1:11" x14ac:dyDescent="0.35">
      <c r="A9" s="5" t="s">
        <v>29</v>
      </c>
      <c r="B9" s="5" t="s">
        <v>35</v>
      </c>
      <c r="C9" s="5" t="s">
        <v>36</v>
      </c>
      <c r="D9" s="5" t="s">
        <v>37</v>
      </c>
      <c r="E9" s="6">
        <v>46175</v>
      </c>
      <c r="F9" s="4">
        <f ca="1">Tracker_All[[#This Row],[تاريخ الانتهاء]]-TODAY()</f>
        <v>26</v>
      </c>
      <c r="G9" s="3">
        <f t="shared" si="0"/>
        <v>46145</v>
      </c>
      <c r="H9" s="7" t="str">
        <f t="shared" ca="1" si="1"/>
        <v>حرج</v>
      </c>
      <c r="I9" s="7" t="str">
        <f t="shared" ca="1" si="2"/>
        <v>عالية</v>
      </c>
      <c r="J9" s="5" t="s">
        <v>33</v>
      </c>
      <c r="K9" s="5" t="s">
        <v>38</v>
      </c>
    </row>
    <row r="10" spans="1:11" x14ac:dyDescent="0.35">
      <c r="A10" s="5" t="s">
        <v>11</v>
      </c>
      <c r="B10" s="5" t="s">
        <v>39</v>
      </c>
      <c r="C10" s="5" t="s">
        <v>40</v>
      </c>
      <c r="D10" s="5" t="s">
        <v>40</v>
      </c>
      <c r="E10" s="6">
        <v>46176</v>
      </c>
      <c r="F10" s="4">
        <f ca="1">Tracker_All[[#This Row],[تاريخ الانتهاء]]-TODAY()</f>
        <v>27</v>
      </c>
      <c r="G10" s="3">
        <f t="shared" si="0"/>
        <v>46146</v>
      </c>
      <c r="H10" s="7" t="str">
        <f t="shared" ca="1" si="1"/>
        <v>حرج</v>
      </c>
      <c r="I10" s="7" t="str">
        <f t="shared" ca="1" si="2"/>
        <v>عالية</v>
      </c>
      <c r="J10" s="5" t="s">
        <v>14</v>
      </c>
      <c r="K10" s="5" t="s">
        <v>18</v>
      </c>
    </row>
    <row r="11" spans="1:11" x14ac:dyDescent="0.35">
      <c r="A11" s="5" t="s">
        <v>29</v>
      </c>
      <c r="B11" s="5" t="s">
        <v>30</v>
      </c>
      <c r="C11" s="5" t="s">
        <v>41</v>
      </c>
      <c r="D11" s="5" t="s">
        <v>42</v>
      </c>
      <c r="E11" s="6">
        <v>46182</v>
      </c>
      <c r="F11" s="4">
        <f ca="1">Tracker_All[[#This Row],[تاريخ الانتهاء]]-TODAY()</f>
        <v>33</v>
      </c>
      <c r="G11" s="3">
        <f t="shared" si="0"/>
        <v>46152</v>
      </c>
      <c r="H11" s="7" t="str">
        <f t="shared" ca="1" si="1"/>
        <v>قريب</v>
      </c>
      <c r="I11" s="7" t="str">
        <f t="shared" ca="1" si="2"/>
        <v>متوسطة</v>
      </c>
      <c r="J11" s="5" t="s">
        <v>33</v>
      </c>
      <c r="K11" s="5" t="s">
        <v>34</v>
      </c>
    </row>
    <row r="12" spans="1:11" x14ac:dyDescent="0.35">
      <c r="A12" s="7" t="s">
        <v>29</v>
      </c>
      <c r="B12" s="7" t="s">
        <v>30</v>
      </c>
      <c r="C12" s="7" t="s">
        <v>43</v>
      </c>
      <c r="D12" s="7" t="s">
        <v>44</v>
      </c>
      <c r="E12" s="8">
        <v>46204</v>
      </c>
      <c r="F12" s="4">
        <f ca="1">Tracker_All[[#This Row],[تاريخ الانتهاء]]-TODAY()</f>
        <v>55</v>
      </c>
      <c r="G12" s="3">
        <f t="shared" si="0"/>
        <v>46174</v>
      </c>
      <c r="H12" s="7" t="str">
        <f t="shared" ca="1" si="1"/>
        <v>قريب</v>
      </c>
      <c r="I12" s="7" t="str">
        <f t="shared" ca="1" si="2"/>
        <v>متوسطة</v>
      </c>
      <c r="J12" s="7" t="s">
        <v>33</v>
      </c>
      <c r="K12" s="7" t="s">
        <v>45</v>
      </c>
    </row>
    <row r="13" spans="1:11" x14ac:dyDescent="0.35">
      <c r="A13" s="7" t="s">
        <v>11</v>
      </c>
      <c r="B13" s="7" t="s">
        <v>46</v>
      </c>
      <c r="C13" s="7" t="s">
        <v>47</v>
      </c>
      <c r="D13" s="7" t="s">
        <v>47</v>
      </c>
      <c r="E13" s="8">
        <v>46213</v>
      </c>
      <c r="F13" s="4">
        <f ca="1">Tracker_All[[#This Row],[تاريخ الانتهاء]]-TODAY()</f>
        <v>64</v>
      </c>
      <c r="G13" s="3">
        <f t="shared" si="0"/>
        <v>46183</v>
      </c>
      <c r="H13" s="7" t="str">
        <f t="shared" ca="1" si="1"/>
        <v>ساري</v>
      </c>
      <c r="I13" s="7" t="str">
        <f t="shared" ca="1" si="2"/>
        <v>منخفضة</v>
      </c>
      <c r="J13" s="7" t="s">
        <v>14</v>
      </c>
      <c r="K13" s="7"/>
    </row>
    <row r="14" spans="1:11" x14ac:dyDescent="0.35">
      <c r="A14" s="7" t="s">
        <v>29</v>
      </c>
      <c r="B14" s="7" t="s">
        <v>30</v>
      </c>
      <c r="C14" s="7" t="s">
        <v>48</v>
      </c>
      <c r="D14" s="7" t="s">
        <v>49</v>
      </c>
      <c r="E14" s="8">
        <v>46214</v>
      </c>
      <c r="F14" s="4">
        <f ca="1">Tracker_All[[#This Row],[تاريخ الانتهاء]]-TODAY()</f>
        <v>65</v>
      </c>
      <c r="G14" s="3">
        <f t="shared" si="0"/>
        <v>46184</v>
      </c>
      <c r="H14" s="7" t="str">
        <f t="shared" ca="1" si="1"/>
        <v>ساري</v>
      </c>
      <c r="I14" s="7" t="str">
        <f t="shared" ca="1" si="2"/>
        <v>منخفضة</v>
      </c>
      <c r="J14" s="7" t="s">
        <v>33</v>
      </c>
      <c r="K14" s="7" t="s">
        <v>45</v>
      </c>
    </row>
    <row r="15" spans="1:11" x14ac:dyDescent="0.35">
      <c r="A15" s="7" t="s">
        <v>11</v>
      </c>
      <c r="B15" s="7" t="s">
        <v>50</v>
      </c>
      <c r="C15" s="7" t="s">
        <v>51</v>
      </c>
      <c r="D15" s="7" t="s">
        <v>52</v>
      </c>
      <c r="E15" s="8">
        <v>46235</v>
      </c>
      <c r="F15" s="4">
        <f ca="1">Tracker_All[[#This Row],[تاريخ الانتهاء]]-TODAY()</f>
        <v>86</v>
      </c>
      <c r="G15" s="3">
        <f t="shared" si="0"/>
        <v>46205</v>
      </c>
      <c r="H15" s="7" t="str">
        <f t="shared" ca="1" si="1"/>
        <v>ساري</v>
      </c>
      <c r="I15" s="7" t="str">
        <f t="shared" ca="1" si="2"/>
        <v>منخفضة</v>
      </c>
      <c r="J15" s="7" t="s">
        <v>14</v>
      </c>
      <c r="K15" s="7"/>
    </row>
    <row r="16" spans="1:11" x14ac:dyDescent="0.35">
      <c r="A16" s="7" t="s">
        <v>29</v>
      </c>
      <c r="B16" s="7" t="s">
        <v>35</v>
      </c>
      <c r="C16" s="7" t="s">
        <v>43</v>
      </c>
      <c r="D16" s="7" t="s">
        <v>53</v>
      </c>
      <c r="E16" s="8">
        <v>46344</v>
      </c>
      <c r="F16" s="4">
        <f ca="1">Tracker_All[[#This Row],[تاريخ الانتهاء]]-TODAY()</f>
        <v>195</v>
      </c>
      <c r="G16" s="3">
        <f t="shared" si="0"/>
        <v>46314</v>
      </c>
      <c r="H16" s="7" t="str">
        <f t="shared" ca="1" si="1"/>
        <v>ساري</v>
      </c>
      <c r="I16" s="7" t="str">
        <f t="shared" ca="1" si="2"/>
        <v>منخفضة</v>
      </c>
      <c r="J16" s="7" t="s">
        <v>33</v>
      </c>
      <c r="K16" s="7" t="s">
        <v>54</v>
      </c>
    </row>
    <row r="17" spans="1:11" x14ac:dyDescent="0.35">
      <c r="A17" s="7" t="s">
        <v>11</v>
      </c>
      <c r="B17" s="7" t="s">
        <v>20</v>
      </c>
      <c r="C17" s="7" t="s">
        <v>21</v>
      </c>
      <c r="D17" s="7" t="s">
        <v>55</v>
      </c>
      <c r="E17" s="8">
        <v>46391</v>
      </c>
      <c r="F17" s="4">
        <f ca="1">Tracker_All[[#This Row],[تاريخ الانتهاء]]-TODAY()</f>
        <v>242</v>
      </c>
      <c r="G17" s="3">
        <f t="shared" si="0"/>
        <v>46361</v>
      </c>
      <c r="H17" s="7" t="str">
        <f t="shared" ca="1" si="1"/>
        <v>ساري</v>
      </c>
      <c r="I17" s="7" t="str">
        <f t="shared" ca="1" si="2"/>
        <v>منخفضة</v>
      </c>
      <c r="J17" s="7" t="s">
        <v>14</v>
      </c>
      <c r="K17" s="7" t="s">
        <v>18</v>
      </c>
    </row>
    <row r="18" spans="1:11" ht="25" x14ac:dyDescent="0.35">
      <c r="A18" s="7" t="s">
        <v>11</v>
      </c>
      <c r="B18" s="7" t="s">
        <v>23</v>
      </c>
      <c r="C18" s="7" t="s">
        <v>24</v>
      </c>
      <c r="D18" s="7" t="s">
        <v>56</v>
      </c>
      <c r="E18" s="8">
        <v>46391</v>
      </c>
      <c r="F18" s="4">
        <f ca="1">Tracker_All[[#This Row],[تاريخ الانتهاء]]-TODAY()</f>
        <v>242</v>
      </c>
      <c r="G18" s="3">
        <f t="shared" si="0"/>
        <v>46361</v>
      </c>
      <c r="H18" s="7" t="str">
        <f t="shared" ca="1" si="1"/>
        <v>ساري</v>
      </c>
      <c r="I18" s="7" t="str">
        <f t="shared" ca="1" si="2"/>
        <v>منخفضة</v>
      </c>
      <c r="J18" s="7" t="s">
        <v>14</v>
      </c>
      <c r="K18" s="7" t="s">
        <v>26</v>
      </c>
    </row>
    <row r="19" spans="1:11" x14ac:dyDescent="0.35">
      <c r="A19" s="7" t="s">
        <v>11</v>
      </c>
      <c r="B19" s="7" t="s">
        <v>57</v>
      </c>
      <c r="C19" s="7" t="s">
        <v>58</v>
      </c>
      <c r="D19" s="7" t="s">
        <v>59</v>
      </c>
      <c r="E19" s="8">
        <v>46396</v>
      </c>
      <c r="F19" s="4">
        <f ca="1">Tracker_All[[#This Row],[تاريخ الانتهاء]]-TODAY()</f>
        <v>247</v>
      </c>
      <c r="G19" s="3">
        <f t="shared" si="0"/>
        <v>46366</v>
      </c>
      <c r="H19" s="7" t="str">
        <f t="shared" ca="1" si="1"/>
        <v>ساري</v>
      </c>
      <c r="I19" s="7" t="str">
        <f t="shared" ca="1" si="2"/>
        <v>منخفضة</v>
      </c>
      <c r="J19" s="7" t="s">
        <v>14</v>
      </c>
      <c r="K19" s="7" t="s">
        <v>18</v>
      </c>
    </row>
    <row r="20" spans="1:11" x14ac:dyDescent="0.35">
      <c r="A20" s="7" t="s">
        <v>29</v>
      </c>
      <c r="B20" s="7" t="s">
        <v>35</v>
      </c>
      <c r="C20" s="7" t="s">
        <v>31</v>
      </c>
      <c r="D20" s="7" t="s">
        <v>60</v>
      </c>
      <c r="E20" s="8">
        <v>46527</v>
      </c>
      <c r="F20" s="4">
        <f ca="1">Tracker_All[[#This Row],[تاريخ الانتهاء]]-TODAY()</f>
        <v>378</v>
      </c>
      <c r="G20" s="3">
        <f t="shared" si="0"/>
        <v>46497</v>
      </c>
      <c r="H20" s="7" t="str">
        <f t="shared" ca="1" si="1"/>
        <v>ساري</v>
      </c>
      <c r="I20" s="7" t="str">
        <f t="shared" ca="1" si="2"/>
        <v>منخفضة</v>
      </c>
      <c r="J20" s="7" t="s">
        <v>33</v>
      </c>
      <c r="K20" s="7" t="s">
        <v>61</v>
      </c>
    </row>
    <row r="21" spans="1:11" x14ac:dyDescent="0.35">
      <c r="A21" s="7" t="s">
        <v>29</v>
      </c>
      <c r="B21" s="7" t="s">
        <v>35</v>
      </c>
      <c r="C21" s="7" t="s">
        <v>41</v>
      </c>
      <c r="D21" s="7" t="s">
        <v>62</v>
      </c>
      <c r="E21" s="8">
        <v>46535</v>
      </c>
      <c r="F21" s="4">
        <f ca="1">Tracker_All[[#This Row],[تاريخ الانتهاء]]-TODAY()</f>
        <v>386</v>
      </c>
      <c r="G21" s="3">
        <f t="shared" si="0"/>
        <v>46505</v>
      </c>
      <c r="H21" s="7" t="str">
        <f t="shared" ca="1" si="1"/>
        <v>ساري</v>
      </c>
      <c r="I21" s="7" t="str">
        <f t="shared" ca="1" si="2"/>
        <v>منخفضة</v>
      </c>
      <c r="J21" s="7" t="s">
        <v>33</v>
      </c>
      <c r="K21" s="7" t="s">
        <v>63</v>
      </c>
    </row>
    <row r="22" spans="1:11" x14ac:dyDescent="0.35">
      <c r="A22" s="7" t="s">
        <v>29</v>
      </c>
      <c r="B22" s="7" t="s">
        <v>35</v>
      </c>
      <c r="C22" s="7" t="s">
        <v>48</v>
      </c>
      <c r="D22" s="7" t="s">
        <v>64</v>
      </c>
      <c r="E22" s="8">
        <v>46554</v>
      </c>
      <c r="F22" s="4">
        <f ca="1">Tracker_All[[#This Row],[تاريخ الانتهاء]]-TODAY()</f>
        <v>405</v>
      </c>
      <c r="G22" s="3">
        <f t="shared" si="0"/>
        <v>46524</v>
      </c>
      <c r="H22" s="7" t="str">
        <f t="shared" ca="1" si="1"/>
        <v>ساري</v>
      </c>
      <c r="I22" s="7" t="str">
        <f t="shared" ca="1" si="2"/>
        <v>منخفضة</v>
      </c>
      <c r="J22" s="7" t="s">
        <v>33</v>
      </c>
      <c r="K22" s="7" t="s">
        <v>65</v>
      </c>
    </row>
    <row r="23" spans="1:11" x14ac:dyDescent="0.35">
      <c r="A23" s="9" t="s">
        <v>11</v>
      </c>
      <c r="B23" s="9" t="s">
        <v>50</v>
      </c>
      <c r="C23" s="9" t="s">
        <v>51</v>
      </c>
      <c r="D23" s="9" t="s">
        <v>66</v>
      </c>
      <c r="E23" s="9"/>
      <c r="F23" s="10"/>
      <c r="G23" s="3" t="str">
        <f t="shared" si="0"/>
        <v/>
      </c>
      <c r="H23" s="7" t="str">
        <f t="shared" si="1"/>
        <v>بدون تاريخ</v>
      </c>
      <c r="I23" s="7" t="str">
        <f t="shared" si="2"/>
        <v>مراجعة مطلوبة</v>
      </c>
      <c r="J23" s="9" t="s">
        <v>14</v>
      </c>
      <c r="K23" s="9"/>
    </row>
    <row r="24" spans="1:11" x14ac:dyDescent="0.35">
      <c r="A24" s="9" t="s">
        <v>11</v>
      </c>
      <c r="B24" s="9" t="s">
        <v>67</v>
      </c>
      <c r="C24" s="9" t="s">
        <v>68</v>
      </c>
      <c r="D24" s="9" t="s">
        <v>69</v>
      </c>
      <c r="E24" s="9"/>
      <c r="F24" s="10"/>
      <c r="G24" s="3" t="str">
        <f t="shared" si="0"/>
        <v/>
      </c>
      <c r="H24" s="7" t="str">
        <f t="shared" si="1"/>
        <v>بدون تاريخ</v>
      </c>
      <c r="I24" s="7" t="str">
        <f t="shared" si="2"/>
        <v>مراجعة مطلوبة</v>
      </c>
      <c r="J24" s="9" t="s">
        <v>14</v>
      </c>
      <c r="K24" s="9" t="s">
        <v>70</v>
      </c>
    </row>
    <row r="25" spans="1:11" x14ac:dyDescent="0.35">
      <c r="A25" s="9" t="s">
        <v>29</v>
      </c>
      <c r="B25" s="9" t="s">
        <v>30</v>
      </c>
      <c r="C25" s="9" t="s">
        <v>36</v>
      </c>
      <c r="D25" s="9" t="s">
        <v>71</v>
      </c>
      <c r="E25" s="9"/>
      <c r="F25" s="10"/>
      <c r="G25" s="3" t="str">
        <f t="shared" si="0"/>
        <v/>
      </c>
      <c r="H25" s="7" t="str">
        <f t="shared" si="1"/>
        <v>بدون تاريخ</v>
      </c>
      <c r="I25" s="7" t="str">
        <f t="shared" si="2"/>
        <v>مراجعة مطلوبة</v>
      </c>
      <c r="J25" s="9" t="s">
        <v>33</v>
      </c>
      <c r="K25" s="9" t="s">
        <v>72</v>
      </c>
    </row>
    <row r="26" spans="1:11" x14ac:dyDescent="0.35">
      <c r="A26" s="9" t="s">
        <v>11</v>
      </c>
      <c r="B26" s="9" t="s">
        <v>67</v>
      </c>
      <c r="C26" s="9" t="s">
        <v>68</v>
      </c>
      <c r="D26" s="9" t="s">
        <v>69</v>
      </c>
      <c r="E26" s="9"/>
      <c r="F26" s="10"/>
      <c r="G26" s="3" t="str">
        <f t="shared" ref="G26" si="3">IF(E26="","",E26-30)</f>
        <v/>
      </c>
      <c r="H26" s="7" t="str">
        <f t="shared" ref="H26" si="4">IF(E26="","بدون تاريخ",IF(F26&lt;0,"منتهي",IF(F26&lt;=30,"حرج",IF(F26&lt;=60,"قريب","ساري"))))</f>
        <v>بدون تاريخ</v>
      </c>
      <c r="I26" s="7" t="str">
        <f t="shared" ref="I26" si="5">IF(H26="بدون تاريخ","مراجعة مطلوبة",IF(H26="منتهي","عالية",IF(H26="حرج","عالية",IF(H26="قريب","متوسطة","منخفضة"))))</f>
        <v>مراجعة مطلوبة</v>
      </c>
      <c r="J26" s="9" t="s">
        <v>14</v>
      </c>
      <c r="K26" s="9" t="s">
        <v>70</v>
      </c>
    </row>
    <row r="27" spans="1:11" x14ac:dyDescent="0.35">
      <c r="A27" s="7" t="s">
        <v>11</v>
      </c>
      <c r="B27" s="7" t="s">
        <v>88</v>
      </c>
      <c r="C27" s="7" t="s">
        <v>89</v>
      </c>
      <c r="D27" s="7" t="s">
        <v>89</v>
      </c>
      <c r="E27" s="8">
        <v>46398</v>
      </c>
      <c r="F27" s="4">
        <f ca="1">E27-TODAY()</f>
        <v>249</v>
      </c>
      <c r="G27" s="3">
        <f t="shared" si="0"/>
        <v>46368</v>
      </c>
      <c r="H27" s="7" t="str">
        <f t="shared" ca="1" si="1"/>
        <v>ساري</v>
      </c>
      <c r="I27" s="7" t="str">
        <f t="shared" ca="1" si="2"/>
        <v>منخفضة</v>
      </c>
      <c r="J27" s="7" t="s">
        <v>14</v>
      </c>
      <c r="K27" s="7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5" x14ac:dyDescent="0.35"/>
  <cols>
    <col min="1" max="1" width="6" customWidth="1"/>
    <col min="2" max="2" width="60" customWidth="1"/>
  </cols>
  <sheetData>
    <row r="1" spans="1:2" ht="14.65" customHeight="1" x14ac:dyDescent="0.35">
      <c r="A1" s="11"/>
      <c r="B1" s="12"/>
    </row>
    <row r="2" spans="1:2" ht="14.65" customHeight="1" x14ac:dyDescent="0.35">
      <c r="A2" s="11"/>
      <c r="B2" s="13" t="s">
        <v>73</v>
      </c>
    </row>
    <row r="3" spans="1:2" ht="14.65" customHeight="1" x14ac:dyDescent="0.35">
      <c r="A3" s="11"/>
      <c r="B3" s="12"/>
    </row>
    <row r="4" spans="1:2" ht="14.65" customHeight="1" x14ac:dyDescent="0.35">
      <c r="A4" s="11" t="s">
        <v>74</v>
      </c>
      <c r="B4" s="12" t="s">
        <v>75</v>
      </c>
    </row>
    <row r="5" spans="1:2" ht="14.65" customHeight="1" x14ac:dyDescent="0.35">
      <c r="A5" s="11" t="s">
        <v>76</v>
      </c>
      <c r="B5" s="12" t="s">
        <v>77</v>
      </c>
    </row>
    <row r="6" spans="1:2" ht="14.65" customHeight="1" x14ac:dyDescent="0.35">
      <c r="A6" s="11" t="s">
        <v>78</v>
      </c>
      <c r="B6" s="12" t="s">
        <v>79</v>
      </c>
    </row>
    <row r="7" spans="1:2" ht="14.65" customHeight="1" x14ac:dyDescent="0.35">
      <c r="A7" s="11" t="s">
        <v>80</v>
      </c>
      <c r="B7" s="12" t="s">
        <v>81</v>
      </c>
    </row>
    <row r="8" spans="1:2" ht="14.65" customHeight="1" x14ac:dyDescent="0.35">
      <c r="A8" s="11" t="s">
        <v>82</v>
      </c>
      <c r="B8" s="12" t="s">
        <v>83</v>
      </c>
    </row>
    <row r="9" spans="1:2" ht="14.65" customHeight="1" x14ac:dyDescent="0.35">
      <c r="A9" s="11"/>
      <c r="B9" s="12"/>
    </row>
    <row r="10" spans="1:2" ht="14.65" customHeight="1" x14ac:dyDescent="0.35">
      <c r="A10" s="11"/>
      <c r="B10" s="14" t="s">
        <v>84</v>
      </c>
    </row>
    <row r="11" spans="1:2" ht="14.65" customHeight="1" x14ac:dyDescent="0.35">
      <c r="A11" s="11"/>
      <c r="B11" s="12"/>
    </row>
    <row r="12" spans="1:2" ht="14.65" customHeight="1" x14ac:dyDescent="0.35">
      <c r="A12" s="11"/>
      <c r="B12" s="14" t="s">
        <v>85</v>
      </c>
    </row>
    <row r="13" spans="1:2" ht="14.65" customHeight="1" x14ac:dyDescent="0.35">
      <c r="A13" s="11"/>
      <c r="B13" s="12"/>
    </row>
    <row r="14" spans="1:2" ht="14.65" customHeight="1" x14ac:dyDescent="0.35">
      <c r="A14" s="11"/>
      <c r="B14" s="14" t="s">
        <v>86</v>
      </c>
    </row>
    <row r="15" spans="1:2" ht="14.65" customHeight="1" x14ac:dyDescent="0.35">
      <c r="A15" s="11"/>
      <c r="B15" s="12"/>
    </row>
    <row r="16" spans="1:2" ht="14.65" customHeight="1" x14ac:dyDescent="0.35">
      <c r="A16" s="11"/>
      <c r="B16" s="1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Tracker_All</vt:lpstr>
      <vt:lpstr>README_PowerBI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Hamad Alzaben</cp:lastModifiedBy>
  <dcterms:modified xsi:type="dcterms:W3CDTF">2026-05-07T06:45:52Z</dcterms:modified>
</cp:coreProperties>
</file>