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eirc-my.sharepoint.com/personal/halzaben_meirc_com/Documents/Desktop/"/>
    </mc:Choice>
  </mc:AlternateContent>
  <xr:revisionPtr revIDLastSave="54" documentId="13_ncr:1_{A9DB5D68-FAF6-475D-815D-D63DA13F66D7}" xr6:coauthVersionLast="47" xr6:coauthVersionMax="47" xr10:uidLastSave="{975AF494-F2F5-4058-96CF-8B53E0BD6053}"/>
  <bookViews>
    <workbookView xWindow="-110" yWindow="-110" windowWidth="19420" windowHeight="11500" tabRatio="500" xr2:uid="{00000000-000D-0000-FFFF-FFFF00000000}"/>
  </bookViews>
  <sheets>
    <sheet name="Tracker_All" sheetId="1" r:id="rId1"/>
    <sheet name="README_PowerBI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1" l="1"/>
  <c r="H21" i="1" s="1"/>
  <c r="I21" i="1" s="1"/>
  <c r="G21" i="1"/>
  <c r="G12" i="1"/>
  <c r="F12" i="1"/>
  <c r="H12" i="1" s="1"/>
  <c r="I12" i="1" s="1"/>
  <c r="G20" i="2"/>
  <c r="F20" i="2"/>
  <c r="H20" i="2" s="1"/>
  <c r="I20" i="2" s="1"/>
  <c r="F19" i="2"/>
  <c r="H19" i="2" s="1"/>
  <c r="I19" i="2" s="1"/>
  <c r="G19" i="2"/>
  <c r="G4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F4" i="1"/>
  <c r="G3" i="1"/>
  <c r="F3" i="1"/>
  <c r="G2" i="1"/>
  <c r="F2" i="1"/>
  <c r="H2" i="1" s="1"/>
  <c r="H19" i="1" l="1"/>
  <c r="I19" i="1" s="1"/>
  <c r="H13" i="1"/>
  <c r="I13" i="1" s="1"/>
  <c r="H11" i="1"/>
  <c r="I11" i="1" s="1"/>
  <c r="H10" i="1"/>
  <c r="I10" i="1" s="1"/>
  <c r="H20" i="1"/>
  <c r="I20" i="1" s="1"/>
  <c r="H16" i="1"/>
  <c r="I16" i="1" s="1"/>
  <c r="H15" i="1"/>
  <c r="I15" i="1" s="1"/>
  <c r="H18" i="1"/>
  <c r="I18" i="1" s="1"/>
  <c r="H17" i="1"/>
  <c r="I17" i="1" s="1"/>
  <c r="H14" i="1"/>
  <c r="I14" i="1" s="1"/>
  <c r="H3" i="1"/>
  <c r="I3" i="1" s="1"/>
  <c r="H9" i="1"/>
  <c r="I9" i="1" s="1"/>
  <c r="H7" i="1"/>
  <c r="I7" i="1" s="1"/>
  <c r="H4" i="1"/>
  <c r="I4" i="1" s="1"/>
  <c r="H8" i="1"/>
  <c r="I8" i="1" s="1"/>
  <c r="H6" i="1"/>
  <c r="I6" i="1" s="1"/>
  <c r="H5" i="1"/>
  <c r="I5" i="1" s="1"/>
  <c r="I2" i="1"/>
</calcChain>
</file>

<file path=xl/sharedStrings.xml><?xml version="1.0" encoding="utf-8"?>
<sst xmlns="http://schemas.openxmlformats.org/spreadsheetml/2006/main" count="262" uniqueCount="167">
  <si>
    <t>المصدر</t>
  </si>
  <si>
    <t>النوع</t>
  </si>
  <si>
    <t>الجهة</t>
  </si>
  <si>
    <t>البند</t>
  </si>
  <si>
    <t>تاريخ الانتهاء</t>
  </si>
  <si>
    <t>الأيام المتبقية</t>
  </si>
  <si>
    <t>بدء الإجراء (30 يوم قبل)</t>
  </si>
  <si>
    <t>الحالة</t>
  </si>
  <si>
    <t>الأولوية</t>
  </si>
  <si>
    <t>الملف المصدر</t>
  </si>
  <si>
    <t>ملاحظات</t>
  </si>
  <si>
    <t>اسم الشهادة</t>
  </si>
  <si>
    <t>الجهة المُصدِرة</t>
  </si>
  <si>
    <t>رقم الشهادة</t>
  </si>
  <si>
    <t>تاريخ الإصدار</t>
  </si>
  <si>
    <t>ملف الشهادة</t>
  </si>
  <si>
    <t>المجموعة</t>
  </si>
  <si>
    <t>تفاصيل</t>
  </si>
  <si>
    <t>جهة حكومية</t>
  </si>
  <si>
    <t>ZATCA Certificate</t>
  </si>
  <si>
    <t>ZATCA</t>
  </si>
  <si>
    <t>Main_Register.xlsx</t>
  </si>
  <si>
    <r>
      <rPr>
        <sz val="11"/>
        <color theme="1"/>
        <rFont val="FreeSans"/>
        <family val="2"/>
      </rPr>
      <t xml:space="preserve">شهادة الزكاة – </t>
    </r>
    <r>
      <rPr>
        <sz val="11"/>
        <color theme="1"/>
        <rFont val="Calibri"/>
        <charset val="1"/>
      </rPr>
      <t>ZATCA</t>
    </r>
  </si>
  <si>
    <t>هيئة الزكاة والضريبة والجمارك</t>
  </si>
  <si>
    <r>
      <rPr>
        <sz val="11"/>
        <color theme="1"/>
        <rFont val="FreeSans"/>
        <family val="2"/>
      </rPr>
      <t>رقم الشهادة</t>
    </r>
    <r>
      <rPr>
        <sz val="11"/>
        <color theme="1"/>
        <rFont val="Calibri"/>
        <charset val="1"/>
      </rPr>
      <t>: 1027230956</t>
    </r>
  </si>
  <si>
    <r>
      <rPr>
        <sz val="11"/>
        <color theme="1"/>
        <rFont val="Calibri"/>
        <charset val="1"/>
      </rPr>
      <t>05/11/1447</t>
    </r>
    <r>
      <rPr>
        <sz val="11"/>
        <color theme="1"/>
        <rFont val="FreeSans"/>
        <family val="2"/>
      </rPr>
      <t>هـ</t>
    </r>
  </si>
  <si>
    <t>Zakat-Cert-2027.pdf</t>
  </si>
  <si>
    <t>CR32</t>
  </si>
  <si>
    <t>CR: 1010813032</t>
  </si>
  <si>
    <t>Nationalization Certificate</t>
  </si>
  <si>
    <t>Qiwa</t>
  </si>
  <si>
    <t>Nationalization Cert 7029908865 – CR32</t>
  </si>
  <si>
    <t>Supporting certificate added.</t>
  </si>
  <si>
    <r>
      <rPr>
        <sz val="11"/>
        <color theme="1"/>
        <rFont val="FreeSans"/>
        <family val="2"/>
      </rPr>
      <t xml:space="preserve">شهادة التوطين – </t>
    </r>
    <r>
      <rPr>
        <sz val="11"/>
        <color theme="1"/>
        <rFont val="Calibri"/>
        <charset val="1"/>
      </rPr>
      <t>Qiwa</t>
    </r>
  </si>
  <si>
    <r>
      <rPr>
        <sz val="11"/>
        <color theme="1"/>
        <rFont val="FreeSans"/>
        <family val="2"/>
      </rPr>
      <t xml:space="preserve">وزارة الموارد البشرية </t>
    </r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FreeSans"/>
        <family val="2"/>
      </rPr>
      <t>قوى</t>
    </r>
  </si>
  <si>
    <r>
      <rPr>
        <sz val="11"/>
        <color theme="1"/>
        <rFont val="FreeSans"/>
        <family val="2"/>
      </rPr>
      <t>رقم الشهادة</t>
    </r>
    <r>
      <rPr>
        <sz val="11"/>
        <color theme="1"/>
        <rFont val="Calibri"/>
        <charset val="1"/>
      </rPr>
      <t>: 170949-65665987</t>
    </r>
  </si>
  <si>
    <t>07/05/2026</t>
  </si>
  <si>
    <t>Nationalization-CR32-7029908865.pdf</t>
  </si>
  <si>
    <r>
      <rPr>
        <sz val="11"/>
        <color theme="1"/>
        <rFont val="FreeSans"/>
        <family val="2"/>
      </rPr>
      <t>الرقم الوطني</t>
    </r>
    <r>
      <rPr>
        <sz val="11"/>
        <color theme="1"/>
        <rFont val="Calibri"/>
        <charset val="1"/>
      </rPr>
      <t xml:space="preserve">: 7029908865 · </t>
    </r>
    <r>
      <rPr>
        <sz val="11"/>
        <color theme="1"/>
        <rFont val="FreeSans"/>
        <family val="2"/>
      </rPr>
      <t xml:space="preserve">توطين </t>
    </r>
    <r>
      <rPr>
        <sz val="11"/>
        <color theme="1"/>
        <rFont val="Calibri"/>
        <charset val="1"/>
      </rPr>
      <t>55%</t>
    </r>
  </si>
  <si>
    <t>Nationalization Cert 7033766317 – CR42</t>
  </si>
  <si>
    <t>18/12/2025</t>
  </si>
  <si>
    <t>CR42</t>
  </si>
  <si>
    <t>Chamber Membership Certificate</t>
  </si>
  <si>
    <t>Riyadh Chamber</t>
  </si>
  <si>
    <t>COC Riyadh Chamber – CR32</t>
  </si>
  <si>
    <t>شهادة عضوية غرفة الرياض</t>
  </si>
  <si>
    <t>الغرفة التجارية الصناعية بالرياض</t>
  </si>
  <si>
    <r>
      <rPr>
        <sz val="11"/>
        <color theme="1"/>
        <rFont val="FreeSans"/>
        <family val="2"/>
      </rPr>
      <t>رقم العضوية</t>
    </r>
    <r>
      <rPr>
        <sz val="11"/>
        <color theme="1"/>
        <rFont val="Calibri"/>
        <charset val="1"/>
      </rPr>
      <t>: 742640</t>
    </r>
  </si>
  <si>
    <t>18/07/2022</t>
  </si>
  <si>
    <t>Meric -CoC Membership Certificate EXP May 25 2026.pdf</t>
  </si>
  <si>
    <r>
      <rPr>
        <sz val="11"/>
        <color theme="1"/>
        <rFont val="Calibri"/>
        <charset val="1"/>
      </rPr>
      <t xml:space="preserve">CR: 1010813032 · </t>
    </r>
    <r>
      <rPr>
        <sz val="11"/>
        <color theme="1"/>
        <rFont val="FreeSans"/>
        <family val="2"/>
      </rPr>
      <t>درجة ثانية</t>
    </r>
  </si>
  <si>
    <t>Commercial Registration Certificate</t>
  </si>
  <si>
    <t>Ministry of Commerce</t>
  </si>
  <si>
    <t>CR 32</t>
  </si>
  <si>
    <t>No expiry visible on face.</t>
  </si>
  <si>
    <r>
      <rPr>
        <sz val="11"/>
        <color theme="1"/>
        <rFont val="FreeSans"/>
        <family val="2"/>
      </rPr>
      <t xml:space="preserve">السجل التجاري – </t>
    </r>
    <r>
      <rPr>
        <sz val="11"/>
        <color theme="1"/>
        <rFont val="Calibri"/>
        <charset val="1"/>
      </rPr>
      <t>CR32</t>
    </r>
  </si>
  <si>
    <t>وزارة التجارة</t>
  </si>
  <si>
    <r>
      <rPr>
        <sz val="11"/>
        <color theme="1"/>
        <rFont val="FreeSans"/>
        <family val="2"/>
      </rPr>
      <t>رقم السجل التجاري</t>
    </r>
    <r>
      <rPr>
        <sz val="11"/>
        <color theme="1"/>
        <rFont val="Calibri"/>
        <charset val="1"/>
      </rPr>
      <t>: 1010813032</t>
    </r>
  </si>
  <si>
    <t>07/07/2022</t>
  </si>
  <si>
    <t>CR32-Main-1010813032.pdf</t>
  </si>
  <si>
    <r>
      <rPr>
        <sz val="11"/>
        <color theme="1"/>
        <rFont val="FreeSans"/>
        <family val="2"/>
      </rPr>
      <t>الرقم الوطني</t>
    </r>
    <r>
      <rPr>
        <sz val="11"/>
        <color theme="1"/>
        <rFont val="Calibri"/>
        <charset val="1"/>
      </rPr>
      <t xml:space="preserve">: 7029908865 · </t>
    </r>
    <r>
      <rPr>
        <sz val="11"/>
        <color theme="1"/>
        <rFont val="FreeSans"/>
        <family val="2"/>
      </rPr>
      <t xml:space="preserve">فرع شركة أجنبية </t>
    </r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FreeSans"/>
        <family val="2"/>
      </rPr>
      <t>نشطة</t>
    </r>
  </si>
  <si>
    <t>TVTC License</t>
  </si>
  <si>
    <t>TVTC</t>
  </si>
  <si>
    <r>
      <rPr>
        <sz val="11"/>
        <color theme="1"/>
        <rFont val="FreeSans"/>
        <family val="2"/>
      </rPr>
      <t xml:space="preserve">ترخيص التدريب – </t>
    </r>
    <r>
      <rPr>
        <sz val="11"/>
        <color theme="1"/>
        <rFont val="Calibri"/>
        <charset val="1"/>
      </rPr>
      <t>TVTC</t>
    </r>
  </si>
  <si>
    <t>المؤسسة العامة للتدريب التقني والمهني</t>
  </si>
  <si>
    <r>
      <rPr>
        <sz val="11"/>
        <color theme="1"/>
        <rFont val="FreeSans"/>
        <family val="2"/>
      </rPr>
      <t>رقم الإصدار</t>
    </r>
    <r>
      <rPr>
        <sz val="11"/>
        <color theme="1"/>
        <rFont val="Calibri"/>
        <charset val="1"/>
      </rPr>
      <t>: 1181861142</t>
    </r>
  </si>
  <si>
    <t>TVTC-License-2028.pdf</t>
  </si>
  <si>
    <t>مركز ميرك للتدريب – الرياض</t>
  </si>
  <si>
    <t>مقيم</t>
  </si>
  <si>
    <t>تأشيرة</t>
  </si>
  <si>
    <t>تفاصيل - مقيم.xlsx</t>
  </si>
  <si>
    <t>حالة التأشيرة: غبر مستعمل - السفر قبل</t>
  </si>
  <si>
    <t>إقامة</t>
  </si>
  <si>
    <t>مريم ايهاب محمود احمد همام</t>
  </si>
  <si>
    <t>إقامة مريم ايهاب محمود احمد همام</t>
  </si>
  <si>
    <t>رقم الإقامة: 2583134610</t>
  </si>
  <si>
    <t>SME Certificate</t>
  </si>
  <si>
    <t>SME</t>
  </si>
  <si>
    <t>SME – CR42</t>
  </si>
  <si>
    <r>
      <rPr>
        <sz val="11"/>
        <color theme="1"/>
        <rFont val="FreeSans"/>
        <family val="2"/>
      </rPr>
      <t xml:space="preserve">شهادة </t>
    </r>
    <r>
      <rPr>
        <sz val="11"/>
        <color theme="1"/>
        <rFont val="Calibri"/>
        <charset val="1"/>
      </rPr>
      <t>SME</t>
    </r>
  </si>
  <si>
    <t>الهيئة العامة للمنشآت الصغيرة والمتوسطة</t>
  </si>
  <si>
    <r>
      <rPr>
        <sz val="11"/>
        <color theme="1"/>
        <rFont val="FreeSans"/>
        <family val="2"/>
      </rPr>
      <t>رقم الشهادة</t>
    </r>
    <r>
      <rPr>
        <sz val="11"/>
        <color theme="1"/>
        <rFont val="Calibri"/>
        <charset val="1"/>
      </rPr>
      <t>: 26217343650</t>
    </r>
  </si>
  <si>
    <t>19/05/2026</t>
  </si>
  <si>
    <t>SME - CR42.pdf</t>
  </si>
  <si>
    <r>
      <rPr>
        <sz val="11"/>
        <color theme="1"/>
        <rFont val="FreeSans"/>
        <family val="2"/>
      </rPr>
      <t>الرقم الوطني</t>
    </r>
    <r>
      <rPr>
        <sz val="11"/>
        <color theme="1"/>
        <rFont val="Calibri"/>
        <charset val="1"/>
      </rPr>
      <t>: 7033766317</t>
    </r>
  </si>
  <si>
    <t>LINA AL ASHKAR</t>
  </si>
  <si>
    <t>تأشيرة LINA AL ASHKAR</t>
  </si>
  <si>
    <t>GOSI Certificate</t>
  </si>
  <si>
    <t>GOSI</t>
  </si>
  <si>
    <r>
      <rPr>
        <sz val="11"/>
        <color theme="1"/>
        <rFont val="FreeSans"/>
        <family val="2"/>
      </rPr>
      <t xml:space="preserve">شهادة </t>
    </r>
    <r>
      <rPr>
        <sz val="11"/>
        <color theme="1"/>
        <rFont val="Calibri"/>
        <charset val="1"/>
      </rPr>
      <t xml:space="preserve">GOSI – </t>
    </r>
    <r>
      <rPr>
        <sz val="11"/>
        <color theme="1"/>
        <rFont val="FreeSans"/>
        <family val="2"/>
      </rPr>
      <t>التأمينات</t>
    </r>
  </si>
  <si>
    <t>المؤسسة العامة للتأمينات الاجتماعية</t>
  </si>
  <si>
    <t>11/04/2026</t>
  </si>
  <si>
    <t>MOHAMMED NAYAL</t>
  </si>
  <si>
    <t>تأشيرة MOHAMMED NAYAL</t>
  </si>
  <si>
    <t>حالة التأشيرة: مستعمل</t>
  </si>
  <si>
    <t>National Address Record</t>
  </si>
  <si>
    <t>SPL</t>
  </si>
  <si>
    <t>National address 42</t>
  </si>
  <si>
    <t>العنوان الوطني</t>
  </si>
  <si>
    <r>
      <rPr>
        <sz val="11"/>
        <color theme="1"/>
        <rFont val="FreeSans"/>
        <family val="2"/>
      </rPr>
      <t xml:space="preserve">البريد السعودي </t>
    </r>
    <r>
      <rPr>
        <sz val="11"/>
        <color theme="1"/>
        <rFont val="Calibri"/>
        <charset val="1"/>
      </rPr>
      <t>SPL</t>
    </r>
  </si>
  <si>
    <t>3/2/2026</t>
  </si>
  <si>
    <r>
      <rPr>
        <sz val="11"/>
        <color theme="1"/>
        <rFont val="Calibri"/>
        <charset val="1"/>
      </rPr>
      <t xml:space="preserve">RUQA7523 – </t>
    </r>
    <r>
      <rPr>
        <sz val="11"/>
        <color theme="1"/>
        <rFont val="FreeSans"/>
        <family val="2"/>
      </rPr>
      <t>سعيد بن زيد، حي قرطبة، الرياض</t>
    </r>
  </si>
  <si>
    <t>COC Riyadh Chamber – CR42</t>
  </si>
  <si>
    <r>
      <rPr>
        <sz val="11"/>
        <color theme="1"/>
        <rFont val="FreeSans"/>
        <family val="2"/>
      </rPr>
      <t>رقم العضوية</t>
    </r>
    <r>
      <rPr>
        <sz val="11"/>
        <color theme="1"/>
        <rFont val="Calibri"/>
        <charset val="1"/>
      </rPr>
      <t>: 836599</t>
    </r>
  </si>
  <si>
    <t>16/07/2023</t>
  </si>
  <si>
    <t>CoC 42 EXP Jan 6 2027.pdf</t>
  </si>
  <si>
    <r>
      <rPr>
        <sz val="11"/>
        <color theme="1"/>
        <rFont val="Calibri"/>
        <charset val="1"/>
      </rPr>
      <t xml:space="preserve">CR: 1010860142 · </t>
    </r>
    <r>
      <rPr>
        <sz val="11"/>
        <color theme="1"/>
        <rFont val="FreeSans"/>
        <family val="2"/>
      </rPr>
      <t>درجة ثانية</t>
    </r>
  </si>
  <si>
    <t>CR 42</t>
  </si>
  <si>
    <r>
      <rPr>
        <sz val="11"/>
        <color theme="1"/>
        <rFont val="FreeSans"/>
        <family val="2"/>
      </rPr>
      <t xml:space="preserve">السجل التجاري – </t>
    </r>
    <r>
      <rPr>
        <sz val="11"/>
        <color theme="1"/>
        <rFont val="Calibri"/>
        <charset val="1"/>
      </rPr>
      <t>CR42</t>
    </r>
  </si>
  <si>
    <r>
      <rPr>
        <sz val="11"/>
        <color theme="1"/>
        <rFont val="FreeSans"/>
        <family val="2"/>
      </rPr>
      <t>رقم السجل التجاري</t>
    </r>
    <r>
      <rPr>
        <sz val="11"/>
        <color theme="1"/>
        <rFont val="Calibri"/>
        <charset val="1"/>
      </rPr>
      <t>: 1010860142</t>
    </r>
  </si>
  <si>
    <t>08/02/2023</t>
  </si>
  <si>
    <t>CR42-Center-1010860142.pdf</t>
  </si>
  <si>
    <r>
      <rPr>
        <sz val="11"/>
        <color theme="1"/>
        <rFont val="FreeSans"/>
        <family val="2"/>
      </rPr>
      <t>الرقم الوطني</t>
    </r>
    <r>
      <rPr>
        <sz val="11"/>
        <color theme="1"/>
        <rFont val="Calibri"/>
        <charset val="1"/>
      </rPr>
      <t xml:space="preserve">: 7033766317 · </t>
    </r>
    <r>
      <rPr>
        <sz val="11"/>
        <color theme="1"/>
        <rFont val="FreeSans"/>
        <family val="2"/>
      </rPr>
      <t xml:space="preserve">فرع شركة أجنبية </t>
    </r>
    <r>
      <rPr>
        <sz val="11"/>
        <color theme="1"/>
        <rFont val="Calibri"/>
        <charset val="1"/>
      </rPr>
      <t xml:space="preserve">· </t>
    </r>
    <r>
      <rPr>
        <sz val="11"/>
        <color theme="1"/>
        <rFont val="FreeSans"/>
        <family val="2"/>
      </rPr>
      <t>نشطة</t>
    </r>
  </si>
  <si>
    <t>Investment License</t>
  </si>
  <si>
    <t>Ministry of Investment</t>
  </si>
  <si>
    <t>Services Investment License</t>
  </si>
  <si>
    <r>
      <rPr>
        <sz val="11"/>
        <color theme="1"/>
        <rFont val="FreeSans"/>
        <family val="2"/>
      </rPr>
      <t xml:space="preserve">ترخيص الاستثمار – </t>
    </r>
    <r>
      <rPr>
        <sz val="11"/>
        <color theme="1"/>
        <rFont val="Calibri"/>
        <charset val="1"/>
      </rPr>
      <t>MISA</t>
    </r>
  </si>
  <si>
    <t>وزارة الاستثمار</t>
  </si>
  <si>
    <r>
      <rPr>
        <sz val="11"/>
        <color theme="1"/>
        <rFont val="FreeSans"/>
        <family val="2"/>
      </rPr>
      <t>رقم الترخيص</t>
    </r>
    <r>
      <rPr>
        <sz val="11"/>
        <color theme="1"/>
        <rFont val="Calibri"/>
        <charset val="1"/>
      </rPr>
      <t>: 102164308134617</t>
    </r>
  </si>
  <si>
    <t>13/03/2022</t>
  </si>
  <si>
    <t>MISA (New) - 2027.pdf</t>
  </si>
  <si>
    <r>
      <rPr>
        <sz val="11"/>
        <color theme="1"/>
        <rFont val="FreeSans"/>
        <family val="2"/>
      </rPr>
      <t>الرقم الوطني</t>
    </r>
    <r>
      <rPr>
        <sz val="11"/>
        <color theme="1"/>
        <rFont val="Calibri"/>
        <charset val="1"/>
      </rPr>
      <t>: 7029908865</t>
    </r>
  </si>
  <si>
    <t>إقامة LINA AL ASHKAR</t>
  </si>
  <si>
    <t>رقم الإقامة: 2598378632</t>
  </si>
  <si>
    <t>إقامة MOHAMMED NAYAL</t>
  </si>
  <si>
    <t>رقم الإقامة: 2572607188</t>
  </si>
  <si>
    <t>National address 32</t>
  </si>
  <si>
    <t>تأشيرة مريم ايهاب محمود احمد همام</t>
  </si>
  <si>
    <t>MOSI Certificate</t>
  </si>
  <si>
    <t>MOSI</t>
  </si>
  <si>
    <t>SME – CR32</t>
  </si>
  <si>
    <r>
      <rPr>
        <sz val="11"/>
        <color theme="1"/>
        <rFont val="FreeSans"/>
        <family val="2"/>
      </rPr>
      <t>رقم الشهادة</t>
    </r>
    <r>
      <rPr>
        <sz val="11"/>
        <color theme="1"/>
        <rFont val="Calibri"/>
        <charset val="1"/>
      </rPr>
      <t>: 26265343654</t>
    </r>
  </si>
  <si>
    <t>SME - CR32.pdf</t>
  </si>
  <si>
    <t>دليل استيراد Power BI</t>
  </si>
  <si>
    <t>١</t>
  </si>
  <si>
    <t>افتح Power BI Desktop → Home → Get Data → Excel Workbook</t>
  </si>
  <si>
    <t>٢</t>
  </si>
  <si>
    <t>اختر هذا الملف، ثم حدد ورقة Tracker_All فقط → Load</t>
  </si>
  <si>
    <t>٣</t>
  </si>
  <si>
    <t>Transform Data: تأكد أن عمود [تاريخ الانتهاء] نوعه Date</t>
  </si>
  <si>
    <t>٤</t>
  </si>
  <si>
    <t>تأكد أن [الأيام المتبقية] نوعه Whole Number</t>
  </si>
  <si>
    <t>٥</t>
  </si>
  <si>
    <t>أغلق Power Query Editor → Apply</t>
  </si>
  <si>
    <t>المقاييس – انسخها من ملف DAX_Measures.txt</t>
  </si>
  <si>
    <t>تصميم اللوحة – راجع ملف PowerBI_Design_Guide.pdf</t>
  </si>
  <si>
    <t>تحديث البيانات: كلما عدّلت هذا الملف، اضغط Refresh في Power BI</t>
  </si>
  <si>
    <t>مسار الملف: لا تغير اسم الملف أو مساره بعد ربطه بـ Power BI</t>
  </si>
  <si>
    <t>GOSI 42</t>
  </si>
  <si>
    <r>
      <t>رقم الشهادة</t>
    </r>
    <r>
      <rPr>
        <sz val="11"/>
        <color theme="1"/>
        <rFont val="Calibri"/>
        <charset val="1"/>
      </rPr>
      <t>: 256343-19899920</t>
    </r>
  </si>
  <si>
    <r>
      <t>رقم الإثبات</t>
    </r>
    <r>
      <rPr>
        <sz val="11"/>
        <color theme="1"/>
        <rFont val="Calibri"/>
        <charset val="1"/>
      </rPr>
      <t>: 1080130933</t>
    </r>
  </si>
  <si>
    <t>رقم الإثبات: 1090961124</t>
  </si>
  <si>
    <t>Address Meirc Consulting Training.pdf</t>
  </si>
  <si>
    <t>Address Meirc Training Center.pdf</t>
  </si>
  <si>
    <r>
      <rPr>
        <sz val="11"/>
        <color theme="1"/>
        <rFont val="Calibri"/>
        <family val="2"/>
      </rPr>
      <t>GOSI CR42 11-25</t>
    </r>
    <r>
      <rPr>
        <sz val="11"/>
        <color theme="1"/>
        <rFont val="Calibri"/>
        <charset val="1"/>
      </rPr>
      <t>.pdf</t>
    </r>
  </si>
  <si>
    <r>
      <t>رمز الشهادة</t>
    </r>
    <r>
      <rPr>
        <sz val="11"/>
        <color theme="1"/>
        <rFont val="Calibri"/>
        <charset val="1"/>
      </rPr>
      <t>: 119567603</t>
    </r>
  </si>
  <si>
    <r>
      <t>رقم الاشتراك</t>
    </r>
    <r>
      <rPr>
        <sz val="11"/>
        <color theme="1"/>
        <rFont val="Calibri"/>
        <charset val="1"/>
      </rPr>
      <t xml:space="preserve">: 638909642 · 9 </t>
    </r>
    <r>
      <rPr>
        <sz val="11"/>
        <color theme="1"/>
        <rFont val="FreeSans"/>
        <family val="2"/>
      </rPr>
      <t>مشتركين</t>
    </r>
  </si>
  <si>
    <t>رقم الشهادة : 318666 M</t>
  </si>
  <si>
    <t>Local Content Certificate.pdf</t>
  </si>
  <si>
    <t xml:space="preserve"> 318666 M</t>
  </si>
  <si>
    <t>هيئة المحتوى المحلي والمشتريات الحكومية</t>
  </si>
  <si>
    <t>شهادة المحتوى المحلي - Local Content Certificate</t>
  </si>
  <si>
    <t>Local Content &amp; Government Procurement Authority</t>
  </si>
  <si>
    <t>Local Content Certificate</t>
  </si>
  <si>
    <t>Local Content</t>
  </si>
  <si>
    <t>Nationalization Certificate -CR42- Expiring Dec 6th.pdf</t>
  </si>
  <si>
    <r>
      <t>الرقم الوطني</t>
    </r>
    <r>
      <rPr>
        <sz val="11"/>
        <color theme="1"/>
        <rFont val="Calibri"/>
        <charset val="1"/>
      </rPr>
      <t xml:space="preserve">: 7033766317 · </t>
    </r>
    <r>
      <rPr>
        <sz val="11"/>
        <color theme="1"/>
        <rFont val="FreeSans"/>
        <family val="2"/>
      </rPr>
      <t xml:space="preserve">توطين </t>
    </r>
    <r>
      <rPr>
        <sz val="11"/>
        <color theme="1"/>
        <rFont val="Calibri"/>
        <charset val="1"/>
      </rPr>
      <t>71%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</si>
</sst>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>
    <font>
      <sz val="11"/>
      <color theme="1"/>
      <name val="Calibri"/>
      <charset val="1"/>
    </font>
    <font>
      <b/>
      <sz val="10"/>
      <color rgb="FFFFFFFF"/>
      <name val="Arial"/>
      <family val="2"/>
      <charset val="1"/>
    </font>
    <font>
      <sz val="10"/>
      <name val="Arial"/>
      <family val="2"/>
      <charset val="1"/>
    </font>
    <font>
      <sz val="11"/>
      <color theme="1"/>
      <name val="FreeSans"/>
      <family val="2"/>
    </font>
    <font>
      <b/>
      <sz val="11"/>
      <color rgb="FF185FA5"/>
      <name val="Arial"/>
      <family val="2"/>
      <charset val="1"/>
    </font>
    <font>
      <sz val="10"/>
      <color rgb="FF1A1A18"/>
      <name val="Arial"/>
      <family val="2"/>
      <charset val="1"/>
    </font>
    <font>
      <b/>
      <sz val="14"/>
      <color rgb="FF1A1A18"/>
      <name val="Arial"/>
      <family val="2"/>
      <charset val="1"/>
    </font>
    <font>
      <b/>
      <sz val="10"/>
      <color rgb="FF185FA5"/>
      <name val="Arial"/>
      <family val="2"/>
      <charset val="1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A1A18"/>
        <bgColor rgb="FF003300"/>
      </patternFill>
    </fill>
    <fill>
      <patternFill patternType="solid">
        <fgColor rgb="FFFCEBEB"/>
        <bgColor rgb="FFF1EFE8"/>
      </patternFill>
    </fill>
    <fill>
      <patternFill patternType="solid">
        <fgColor rgb="FFFFF3DC"/>
        <bgColor rgb="FFFCEBEB"/>
      </patternFill>
    </fill>
    <fill>
      <patternFill patternType="solid">
        <fgColor rgb="FFF1EFE8"/>
        <bgColor rgb="FFFCEBEB"/>
      </patternFill>
    </fill>
    <fill>
      <patternFill patternType="solid">
        <fgColor theme="4" tint="0.79989013336588644"/>
        <bgColor rgb="FFE0DDD6"/>
      </patternFill>
    </fill>
  </fills>
  <borders count="2">
    <border>
      <left/>
      <right/>
      <top/>
      <bottom/>
      <diagonal/>
    </border>
    <border>
      <left style="thin">
        <color rgb="FFE0DDD6"/>
      </left>
      <right style="thin">
        <color rgb="FFE0DDD6"/>
      </right>
      <top style="thin">
        <color rgb="FFE0DDD6"/>
      </top>
      <bottom style="thin">
        <color rgb="FFE0DDD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3" borderId="1" xfId="0" applyFont="1" applyFill="1" applyBorder="1" applyAlignment="1">
      <alignment horizontal="right" vertical="center" wrapText="1"/>
    </xf>
    <xf numFmtId="164" fontId="2" fillId="3" borderId="1" xfId="0" applyNumberFormat="1" applyFont="1" applyFill="1" applyBorder="1" applyAlignment="1">
      <alignment horizontal="righ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3" fillId="0" borderId="0" xfId="0" applyFont="1"/>
    <xf numFmtId="0" fontId="2" fillId="4" borderId="1" xfId="0" applyFont="1" applyFill="1" applyBorder="1" applyAlignment="1">
      <alignment horizontal="right" vertical="center" wrapText="1"/>
    </xf>
    <xf numFmtId="164" fontId="2" fillId="4" borderId="1" xfId="0" applyNumberFormat="1" applyFont="1" applyFill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right" vertical="center" wrapText="1"/>
    </xf>
    <xf numFmtId="0" fontId="2" fillId="5" borderId="1" xfId="0" applyFont="1" applyFill="1" applyBorder="1" applyAlignment="1">
      <alignment horizontal="right" vertical="center" wrapText="1"/>
    </xf>
    <xf numFmtId="0" fontId="2" fillId="6" borderId="1" xfId="0" applyFont="1" applyFill="1" applyBorder="1" applyAlignment="1">
      <alignment horizontal="righ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 applyAlignment="1">
      <alignment horizontal="right" vertical="center" wrapText="1"/>
    </xf>
    <xf numFmtId="0" fontId="7" fillId="0" borderId="0" xfId="0" applyFont="1" applyAlignment="1">
      <alignment horizontal="right" vertical="center" wrapText="1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DC"/>
      <rgbColor rgb="FFDCE6F2"/>
      <rgbColor rgb="FF660066"/>
      <rgbColor rgb="FFFF8080"/>
      <rgbColor rgb="FF185FA5"/>
      <rgbColor rgb="FFE0DD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1A1A18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_All" displayName="Tracker_All" ref="A1:K18" totalsRowShown="0">
  <tableColumns count="11">
    <tableColumn id="1" xr3:uid="{00000000-0010-0000-0000-000001000000}" name="المصدر"/>
    <tableColumn id="2" xr3:uid="{00000000-0010-0000-0000-000002000000}" name="النوع"/>
    <tableColumn id="3" xr3:uid="{00000000-0010-0000-0000-000003000000}" name="الجهة"/>
    <tableColumn id="4" xr3:uid="{00000000-0010-0000-0000-000004000000}" name="البند"/>
    <tableColumn id="5" xr3:uid="{00000000-0010-0000-0000-000005000000}" name="تاريخ الانتهاء"/>
    <tableColumn id="6" xr3:uid="{00000000-0010-0000-0000-000006000000}" name="الأيام المتبقية"/>
    <tableColumn id="7" xr3:uid="{00000000-0010-0000-0000-000007000000}" name="بدء الإجراء (30 يوم قبل)"/>
    <tableColumn id="8" xr3:uid="{00000000-0010-0000-0000-000008000000}" name="الحالة"/>
    <tableColumn id="9" xr3:uid="{00000000-0010-0000-0000-000009000000}" name="الأولوية"/>
    <tableColumn id="10" xr3:uid="{00000000-0010-0000-0000-00000A000000}" name="الملف المصدر"/>
    <tableColumn id="11" xr3:uid="{00000000-0010-0000-0000-00000B000000}" name="ملاحظات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topLeftCell="J2" zoomScaleNormal="100" workbookViewId="0">
      <selection activeCell="O4" sqref="O4"/>
    </sheetView>
  </sheetViews>
  <sheetFormatPr defaultColWidth="8.6328125" defaultRowHeight="14.5"/>
  <cols>
    <col min="1" max="1" width="14" customWidth="1"/>
    <col min="2" max="2" width="28" customWidth="1"/>
    <col min="3" max="3" width="24" customWidth="1"/>
    <col min="4" max="4" width="40" customWidth="1"/>
    <col min="5" max="5" width="18" customWidth="1"/>
    <col min="6" max="6" width="16" customWidth="1"/>
    <col min="7" max="7" width="24" customWidth="1"/>
    <col min="8" max="8" width="12" customWidth="1"/>
    <col min="9" max="9" width="14" customWidth="1"/>
    <col min="10" max="10" width="28" customWidth="1"/>
    <col min="11" max="11" width="40" customWidth="1"/>
    <col min="14" max="14" width="26" bestFit="1" customWidth="1"/>
  </cols>
  <sheetData>
    <row r="1" spans="1:18" ht="1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ht="14.25" customHeight="1">
      <c r="A2" s="3" t="s">
        <v>18</v>
      </c>
      <c r="B2" s="3" t="s">
        <v>19</v>
      </c>
      <c r="C2" s="3" t="s">
        <v>20</v>
      </c>
      <c r="D2" s="3" t="s">
        <v>20</v>
      </c>
      <c r="E2" s="4">
        <v>46507</v>
      </c>
      <c r="F2" s="5">
        <f ca="1">Tracker_All[[#This Row],[تاريخ الانتهاء]]-TODAY()</f>
        <v>234</v>
      </c>
      <c r="G2" s="4">
        <f t="shared" ref="G2:G20" si="0">IF(E2="","",E2-30)</f>
        <v>46477</v>
      </c>
      <c r="H2" s="6" t="str">
        <f t="shared" ref="H2:H20" ca="1" si="1">IF(E2="","بدون تاريخ",IF(F2&lt;0,"منتهي",IF(F2&lt;=30,"حرج",IF(F2&lt;=60,"قريب","ساري"))))</f>
        <v>ساري</v>
      </c>
      <c r="I2" s="6" t="str">
        <f t="shared" ref="I2:I20" ca="1" si="2">IF(H2="بدون تاريخ","مراجعة مطلوبة",IF(H2="منتهي","عالية",IF(H2="حرج","عالية",IF(H2="قريب","متوسطة","منخفضة"))))</f>
        <v>منخفضة</v>
      </c>
      <c r="J2" s="3" t="s">
        <v>21</v>
      </c>
      <c r="K2" s="3"/>
      <c r="L2" s="7" t="s">
        <v>22</v>
      </c>
      <c r="M2" s="7" t="s">
        <v>23</v>
      </c>
      <c r="N2" s="7" t="s">
        <v>24</v>
      </c>
      <c r="O2" t="s">
        <v>25</v>
      </c>
      <c r="P2" t="s">
        <v>26</v>
      </c>
      <c r="Q2" t="s">
        <v>27</v>
      </c>
      <c r="R2" t="s">
        <v>28</v>
      </c>
    </row>
    <row r="3" spans="1:18" ht="14.25" customHeight="1">
      <c r="A3" s="3" t="s">
        <v>18</v>
      </c>
      <c r="B3" s="3" t="s">
        <v>29</v>
      </c>
      <c r="C3" s="3" t="s">
        <v>30</v>
      </c>
      <c r="D3" s="3" t="s">
        <v>31</v>
      </c>
      <c r="E3" s="4">
        <v>46295</v>
      </c>
      <c r="F3" s="5">
        <f ca="1">Tracker_All[[#This Row],[تاريخ الانتهاء]]-TODAY()</f>
        <v>22</v>
      </c>
      <c r="G3" s="4">
        <f t="shared" si="0"/>
        <v>46265</v>
      </c>
      <c r="H3" s="6" t="str">
        <f t="shared" ca="1" si="1"/>
        <v>حرج</v>
      </c>
      <c r="I3" s="6" t="str">
        <f t="shared" ca="1" si="2"/>
        <v>عالية</v>
      </c>
      <c r="J3" s="3" t="s">
        <v>21</v>
      </c>
      <c r="K3" s="3" t="s">
        <v>32</v>
      </c>
      <c r="L3" s="7" t="s">
        <v>33</v>
      </c>
      <c r="M3" s="7" t="s">
        <v>34</v>
      </c>
      <c r="N3" s="7" t="s">
        <v>35</v>
      </c>
      <c r="O3" t="s">
        <v>36</v>
      </c>
      <c r="P3" t="s">
        <v>37</v>
      </c>
      <c r="Q3" t="s">
        <v>27</v>
      </c>
      <c r="R3" s="7" t="s">
        <v>38</v>
      </c>
    </row>
    <row r="4" spans="1:18" ht="14.25" customHeight="1">
      <c r="A4" s="3" t="s">
        <v>18</v>
      </c>
      <c r="B4" s="3" t="s">
        <v>29</v>
      </c>
      <c r="C4" s="3" t="s">
        <v>30</v>
      </c>
      <c r="D4" s="3" t="s">
        <v>39</v>
      </c>
      <c r="E4" s="4">
        <v>46362</v>
      </c>
      <c r="F4" s="5">
        <f ca="1">Tracker_All[[#This Row],[تاريخ الانتهاء]]-TODAY()</f>
        <v>89</v>
      </c>
      <c r="G4" s="4">
        <f t="shared" si="0"/>
        <v>46332</v>
      </c>
      <c r="H4" s="6" t="str">
        <f t="shared" ca="1" si="1"/>
        <v>ساري</v>
      </c>
      <c r="I4" s="6" t="str">
        <f t="shared" ca="1" si="2"/>
        <v>منخفضة</v>
      </c>
      <c r="J4" s="3" t="s">
        <v>21</v>
      </c>
      <c r="K4" s="3" t="s">
        <v>32</v>
      </c>
      <c r="L4" s="7" t="s">
        <v>33</v>
      </c>
      <c r="M4" s="7" t="s">
        <v>34</v>
      </c>
      <c r="N4" s="7" t="s">
        <v>149</v>
      </c>
      <c r="O4" t="s">
        <v>40</v>
      </c>
      <c r="P4" t="s">
        <v>165</v>
      </c>
      <c r="Q4" t="s">
        <v>41</v>
      </c>
      <c r="R4" s="7" t="s">
        <v>166</v>
      </c>
    </row>
    <row r="5" spans="1:18" ht="14.25" customHeight="1">
      <c r="A5" s="3" t="s">
        <v>18</v>
      </c>
      <c r="B5" s="3" t="s">
        <v>42</v>
      </c>
      <c r="C5" s="3" t="s">
        <v>43</v>
      </c>
      <c r="D5" s="3" t="s">
        <v>44</v>
      </c>
      <c r="E5" s="4">
        <v>46532</v>
      </c>
      <c r="F5" s="5">
        <f ca="1">Tracker_All[[#This Row],[تاريخ الانتهاء]]-TODAY()</f>
        <v>259</v>
      </c>
      <c r="G5" s="4">
        <f t="shared" si="0"/>
        <v>46502</v>
      </c>
      <c r="H5" s="6" t="str">
        <f t="shared" ca="1" si="1"/>
        <v>ساري</v>
      </c>
      <c r="I5" s="6" t="str">
        <f t="shared" ca="1" si="2"/>
        <v>منخفضة</v>
      </c>
      <c r="J5" s="3" t="s">
        <v>21</v>
      </c>
      <c r="K5" s="3" t="s">
        <v>32</v>
      </c>
      <c r="L5" s="7" t="s">
        <v>45</v>
      </c>
      <c r="M5" s="7" t="s">
        <v>46</v>
      </c>
      <c r="N5" s="7" t="s">
        <v>47</v>
      </c>
      <c r="O5" t="s">
        <v>48</v>
      </c>
      <c r="P5" t="s">
        <v>49</v>
      </c>
      <c r="Q5" t="s">
        <v>27</v>
      </c>
      <c r="R5" t="s">
        <v>50</v>
      </c>
    </row>
    <row r="6" spans="1:18" ht="24.75" customHeight="1">
      <c r="A6" s="3" t="s">
        <v>18</v>
      </c>
      <c r="B6" s="3" t="s">
        <v>51</v>
      </c>
      <c r="C6" s="3" t="s">
        <v>52</v>
      </c>
      <c r="D6" s="3" t="s">
        <v>53</v>
      </c>
      <c r="E6" s="4">
        <v>46532</v>
      </c>
      <c r="F6" s="5">
        <f ca="1">Tracker_All[[#This Row],[تاريخ الانتهاء]]-TODAY()</f>
        <v>259</v>
      </c>
      <c r="G6" s="4">
        <f t="shared" si="0"/>
        <v>46502</v>
      </c>
      <c r="H6" s="6" t="str">
        <f t="shared" ca="1" si="1"/>
        <v>ساري</v>
      </c>
      <c r="I6" s="6" t="str">
        <f t="shared" ca="1" si="2"/>
        <v>منخفضة</v>
      </c>
      <c r="J6" s="3" t="s">
        <v>21</v>
      </c>
      <c r="K6" s="3" t="s">
        <v>54</v>
      </c>
      <c r="L6" s="7" t="s">
        <v>55</v>
      </c>
      <c r="M6" s="7" t="s">
        <v>56</v>
      </c>
      <c r="N6" s="7" t="s">
        <v>57</v>
      </c>
      <c r="O6" t="s">
        <v>58</v>
      </c>
      <c r="P6" t="s">
        <v>59</v>
      </c>
      <c r="Q6" t="s">
        <v>27</v>
      </c>
      <c r="R6" s="7" t="s">
        <v>60</v>
      </c>
    </row>
    <row r="7" spans="1:18" ht="14.25" customHeight="1">
      <c r="A7" s="3" t="s">
        <v>18</v>
      </c>
      <c r="B7" s="3" t="s">
        <v>61</v>
      </c>
      <c r="C7" s="3" t="s">
        <v>62</v>
      </c>
      <c r="D7" s="3" t="s">
        <v>62</v>
      </c>
      <c r="E7" s="4">
        <v>46951</v>
      </c>
      <c r="F7" s="5">
        <f ca="1">Tracker_All[[#This Row],[تاريخ الانتهاء]]-TODAY()</f>
        <v>678</v>
      </c>
      <c r="G7" s="4">
        <f t="shared" si="0"/>
        <v>46921</v>
      </c>
      <c r="H7" s="6" t="str">
        <f t="shared" ca="1" si="1"/>
        <v>ساري</v>
      </c>
      <c r="I7" s="6" t="str">
        <f t="shared" ca="1" si="2"/>
        <v>منخفضة</v>
      </c>
      <c r="J7" s="3" t="s">
        <v>21</v>
      </c>
      <c r="K7" s="3"/>
      <c r="L7" s="7" t="s">
        <v>63</v>
      </c>
      <c r="M7" s="7" t="s">
        <v>64</v>
      </c>
      <c r="N7" s="7" t="s">
        <v>65</v>
      </c>
      <c r="P7" t="s">
        <v>66</v>
      </c>
      <c r="Q7" t="s">
        <v>41</v>
      </c>
      <c r="R7" s="7" t="s">
        <v>67</v>
      </c>
    </row>
    <row r="8" spans="1:18" ht="14.25" customHeight="1">
      <c r="A8" s="8" t="s">
        <v>18</v>
      </c>
      <c r="B8" s="8" t="s">
        <v>76</v>
      </c>
      <c r="C8" s="8" t="s">
        <v>77</v>
      </c>
      <c r="D8" s="8" t="s">
        <v>78</v>
      </c>
      <c r="E8" s="9">
        <v>46526</v>
      </c>
      <c r="F8" s="5">
        <f ca="1">Tracker_All[[#This Row],[تاريخ الانتهاء]]-TODAY()</f>
        <v>253</v>
      </c>
      <c r="G8" s="4">
        <f t="shared" si="0"/>
        <v>46496</v>
      </c>
      <c r="H8" s="6" t="str">
        <f t="shared" ca="1" si="1"/>
        <v>ساري</v>
      </c>
      <c r="I8" s="6" t="str">
        <f t="shared" ca="1" si="2"/>
        <v>منخفضة</v>
      </c>
      <c r="J8" s="8" t="s">
        <v>21</v>
      </c>
      <c r="K8" s="8" t="s">
        <v>32</v>
      </c>
      <c r="L8" s="7" t="s">
        <v>79</v>
      </c>
      <c r="M8" s="7" t="s">
        <v>80</v>
      </c>
      <c r="N8" s="7" t="s">
        <v>81</v>
      </c>
      <c r="O8" t="s">
        <v>82</v>
      </c>
      <c r="P8" t="s">
        <v>83</v>
      </c>
      <c r="Q8" t="s">
        <v>41</v>
      </c>
      <c r="R8" s="7" t="s">
        <v>84</v>
      </c>
    </row>
    <row r="9" spans="1:18" ht="14.25" customHeight="1">
      <c r="A9" s="8" t="s">
        <v>68</v>
      </c>
      <c r="B9" s="8" t="s">
        <v>69</v>
      </c>
      <c r="C9" s="8" t="s">
        <v>85</v>
      </c>
      <c r="D9" s="8" t="s">
        <v>86</v>
      </c>
      <c r="E9" s="9">
        <v>46452</v>
      </c>
      <c r="F9" s="5">
        <f ca="1">Tracker_All[[#This Row],[تاريخ الانتهاء]]-TODAY()</f>
        <v>179</v>
      </c>
      <c r="G9" s="4">
        <f t="shared" si="0"/>
        <v>46422</v>
      </c>
      <c r="H9" s="6" t="str">
        <f t="shared" ca="1" si="1"/>
        <v>ساري</v>
      </c>
      <c r="I9" s="6" t="str">
        <f t="shared" ca="1" si="2"/>
        <v>منخفضة</v>
      </c>
      <c r="J9" s="8" t="s">
        <v>70</v>
      </c>
      <c r="K9" s="8" t="s">
        <v>71</v>
      </c>
    </row>
    <row r="10" spans="1:18" ht="14.25" customHeight="1">
      <c r="A10" s="6" t="s">
        <v>18</v>
      </c>
      <c r="B10" s="6" t="s">
        <v>87</v>
      </c>
      <c r="C10" s="6" t="s">
        <v>88</v>
      </c>
      <c r="D10" s="6" t="s">
        <v>148</v>
      </c>
      <c r="E10" s="10">
        <v>46351</v>
      </c>
      <c r="F10" s="5">
        <f ca="1">Tracker_All[[#This Row],[تاريخ الانتهاء]]-TODAY()</f>
        <v>78</v>
      </c>
      <c r="G10" s="4">
        <f t="shared" si="0"/>
        <v>46321</v>
      </c>
      <c r="H10" s="6" t="str">
        <f t="shared" ca="1" si="1"/>
        <v>ساري</v>
      </c>
      <c r="I10" s="6" t="str">
        <f t="shared" ca="1" si="2"/>
        <v>منخفضة</v>
      </c>
      <c r="J10" s="6" t="s">
        <v>21</v>
      </c>
      <c r="K10" s="6"/>
      <c r="L10" s="7" t="s">
        <v>89</v>
      </c>
      <c r="M10" s="7" t="s">
        <v>90</v>
      </c>
      <c r="N10" s="7" t="s">
        <v>155</v>
      </c>
      <c r="O10" t="s">
        <v>91</v>
      </c>
      <c r="P10" s="17" t="s">
        <v>154</v>
      </c>
      <c r="Q10" t="s">
        <v>41</v>
      </c>
      <c r="R10" s="7" t="s">
        <v>156</v>
      </c>
    </row>
    <row r="11" spans="1:18" ht="14.25" customHeight="1">
      <c r="A11" s="6" t="s">
        <v>68</v>
      </c>
      <c r="B11" s="6" t="s">
        <v>69</v>
      </c>
      <c r="C11" s="6" t="s">
        <v>92</v>
      </c>
      <c r="D11" s="6" t="s">
        <v>93</v>
      </c>
      <c r="E11" s="10">
        <v>46469</v>
      </c>
      <c r="F11" s="5">
        <f ca="1">Tracker_All[[#This Row],[تاريخ الانتهاء]]-TODAY()</f>
        <v>196</v>
      </c>
      <c r="G11" s="4">
        <f t="shared" si="0"/>
        <v>46439</v>
      </c>
      <c r="H11" s="6" t="str">
        <f t="shared" ca="1" si="1"/>
        <v>ساري</v>
      </c>
      <c r="I11" s="6" t="str">
        <f t="shared" ca="1" si="2"/>
        <v>منخفضة</v>
      </c>
      <c r="J11" s="6" t="s">
        <v>70</v>
      </c>
      <c r="K11" s="6" t="s">
        <v>94</v>
      </c>
    </row>
    <row r="12" spans="1:18" ht="14.25" customHeight="1">
      <c r="A12" s="6" t="s">
        <v>18</v>
      </c>
      <c r="B12" s="6" t="s">
        <v>95</v>
      </c>
      <c r="C12" s="6" t="s">
        <v>96</v>
      </c>
      <c r="D12" s="6" t="s">
        <v>126</v>
      </c>
      <c r="E12" s="10">
        <v>46419</v>
      </c>
      <c r="F12" s="5">
        <f ca="1">Tracker_All[[#This Row],[تاريخ الانتهاء]]-TODAY()</f>
        <v>146</v>
      </c>
      <c r="G12" s="4">
        <f t="shared" ref="G12" si="3">IF(E12="","",E12-30)</f>
        <v>46389</v>
      </c>
      <c r="H12" s="6" t="str">
        <f t="shared" ref="H12" ca="1" si="4">IF(E12="","بدون تاريخ",IF(F12&lt;0,"منتهي",IF(F12&lt;=30,"حرج",IF(F12&lt;=60,"قريب","ساري"))))</f>
        <v>ساري</v>
      </c>
      <c r="I12" s="6" t="str">
        <f t="shared" ca="1" si="2"/>
        <v>منخفضة</v>
      </c>
      <c r="J12" s="6" t="s">
        <v>21</v>
      </c>
      <c r="K12" s="6"/>
      <c r="L12" s="7" t="s">
        <v>98</v>
      </c>
      <c r="M12" s="7" t="s">
        <v>99</v>
      </c>
      <c r="N12" s="7" t="s">
        <v>151</v>
      </c>
      <c r="O12" t="s">
        <v>100</v>
      </c>
      <c r="P12" t="s">
        <v>152</v>
      </c>
      <c r="Q12" t="s">
        <v>27</v>
      </c>
      <c r="R12" t="s">
        <v>101</v>
      </c>
    </row>
    <row r="13" spans="1:18" ht="14.25" customHeight="1">
      <c r="A13" s="6" t="s">
        <v>18</v>
      </c>
      <c r="B13" s="6" t="s">
        <v>95</v>
      </c>
      <c r="C13" s="6" t="s">
        <v>96</v>
      </c>
      <c r="D13" s="6" t="s">
        <v>97</v>
      </c>
      <c r="E13" s="10">
        <v>46419</v>
      </c>
      <c r="F13" s="5">
        <f ca="1">Tracker_All[[#This Row],[تاريخ الانتهاء]]-TODAY()</f>
        <v>146</v>
      </c>
      <c r="G13" s="4">
        <f t="shared" si="0"/>
        <v>46389</v>
      </c>
      <c r="H13" s="6" t="str">
        <f t="shared" ca="1" si="1"/>
        <v>ساري</v>
      </c>
      <c r="I13" s="6" t="str">
        <f t="shared" ca="1" si="2"/>
        <v>منخفضة</v>
      </c>
      <c r="J13" s="6" t="s">
        <v>21</v>
      </c>
      <c r="K13" s="6"/>
      <c r="L13" s="7" t="s">
        <v>98</v>
      </c>
      <c r="M13" s="7" t="s">
        <v>99</v>
      </c>
      <c r="N13" s="7" t="s">
        <v>150</v>
      </c>
      <c r="O13" t="s">
        <v>100</v>
      </c>
      <c r="P13" t="s">
        <v>153</v>
      </c>
      <c r="Q13" t="s">
        <v>41</v>
      </c>
      <c r="R13" t="s">
        <v>101</v>
      </c>
    </row>
    <row r="14" spans="1:18" ht="14.25" customHeight="1">
      <c r="A14" s="6" t="s">
        <v>18</v>
      </c>
      <c r="B14" s="6" t="s">
        <v>42</v>
      </c>
      <c r="C14" s="6" t="s">
        <v>43</v>
      </c>
      <c r="D14" s="6" t="s">
        <v>102</v>
      </c>
      <c r="E14" s="10">
        <v>46391</v>
      </c>
      <c r="F14" s="5">
        <f ca="1">Tracker_All[[#This Row],[تاريخ الانتهاء]]-TODAY()</f>
        <v>118</v>
      </c>
      <c r="G14" s="4">
        <f t="shared" si="0"/>
        <v>46361</v>
      </c>
      <c r="H14" s="6" t="str">
        <f t="shared" ca="1" si="1"/>
        <v>ساري</v>
      </c>
      <c r="I14" s="6" t="str">
        <f t="shared" ca="1" si="2"/>
        <v>منخفضة</v>
      </c>
      <c r="J14" s="6" t="s">
        <v>21</v>
      </c>
      <c r="K14" s="6" t="s">
        <v>32</v>
      </c>
      <c r="L14" s="7" t="s">
        <v>45</v>
      </c>
      <c r="M14" s="7" t="s">
        <v>46</v>
      </c>
      <c r="N14" s="7" t="s">
        <v>103</v>
      </c>
      <c r="O14" t="s">
        <v>104</v>
      </c>
      <c r="P14" t="s">
        <v>105</v>
      </c>
      <c r="Q14" t="s">
        <v>41</v>
      </c>
      <c r="R14" t="s">
        <v>106</v>
      </c>
    </row>
    <row r="15" spans="1:18" ht="24.75" customHeight="1">
      <c r="A15" s="6" t="s">
        <v>18</v>
      </c>
      <c r="B15" s="6" t="s">
        <v>51</v>
      </c>
      <c r="C15" s="6" t="s">
        <v>52</v>
      </c>
      <c r="D15" s="6" t="s">
        <v>107</v>
      </c>
      <c r="E15" s="10">
        <v>46391</v>
      </c>
      <c r="F15" s="5">
        <f ca="1">Tracker_All[[#This Row],[تاريخ الانتهاء]]-TODAY()</f>
        <v>118</v>
      </c>
      <c r="G15" s="4">
        <f t="shared" si="0"/>
        <v>46361</v>
      </c>
      <c r="H15" s="6" t="str">
        <f t="shared" ca="1" si="1"/>
        <v>ساري</v>
      </c>
      <c r="I15" s="6" t="str">
        <f t="shared" ca="1" si="2"/>
        <v>منخفضة</v>
      </c>
      <c r="J15" s="6" t="s">
        <v>21</v>
      </c>
      <c r="K15" s="6" t="s">
        <v>54</v>
      </c>
      <c r="L15" s="7" t="s">
        <v>108</v>
      </c>
      <c r="M15" s="7" t="s">
        <v>56</v>
      </c>
      <c r="N15" s="7" t="s">
        <v>109</v>
      </c>
      <c r="O15" t="s">
        <v>110</v>
      </c>
      <c r="P15" t="s">
        <v>111</v>
      </c>
      <c r="Q15" t="s">
        <v>41</v>
      </c>
      <c r="R15" s="7" t="s">
        <v>112</v>
      </c>
    </row>
    <row r="16" spans="1:18" ht="14.25" customHeight="1">
      <c r="A16" s="6" t="s">
        <v>18</v>
      </c>
      <c r="B16" s="6" t="s">
        <v>113</v>
      </c>
      <c r="C16" s="6" t="s">
        <v>114</v>
      </c>
      <c r="D16" s="6" t="s">
        <v>115</v>
      </c>
      <c r="E16" s="10">
        <v>46396</v>
      </c>
      <c r="F16" s="5">
        <f ca="1">Tracker_All[[#This Row],[تاريخ الانتهاء]]-TODAY()</f>
        <v>123</v>
      </c>
      <c r="G16" s="4">
        <f t="shared" si="0"/>
        <v>46366</v>
      </c>
      <c r="H16" s="6" t="str">
        <f t="shared" ca="1" si="1"/>
        <v>ساري</v>
      </c>
      <c r="I16" s="6" t="str">
        <f t="shared" ca="1" si="2"/>
        <v>منخفضة</v>
      </c>
      <c r="J16" s="6" t="s">
        <v>21</v>
      </c>
      <c r="K16" s="6" t="s">
        <v>32</v>
      </c>
      <c r="L16" s="7" t="s">
        <v>116</v>
      </c>
      <c r="M16" s="7" t="s">
        <v>117</v>
      </c>
      <c r="N16" s="7" t="s">
        <v>118</v>
      </c>
      <c r="O16" t="s">
        <v>119</v>
      </c>
      <c r="P16" t="s">
        <v>120</v>
      </c>
      <c r="Q16" t="s">
        <v>27</v>
      </c>
      <c r="R16" s="7" t="s">
        <v>121</v>
      </c>
    </row>
    <row r="17" spans="1:18" ht="14.25" customHeight="1">
      <c r="A17" s="6" t="s">
        <v>68</v>
      </c>
      <c r="B17" s="6" t="s">
        <v>72</v>
      </c>
      <c r="C17" s="6" t="s">
        <v>85</v>
      </c>
      <c r="D17" s="6" t="s">
        <v>122</v>
      </c>
      <c r="E17" s="10">
        <v>46535</v>
      </c>
      <c r="F17" s="5">
        <f ca="1">Tracker_All[[#This Row],[تاريخ الانتهاء]]-TODAY()</f>
        <v>262</v>
      </c>
      <c r="G17" s="4">
        <f t="shared" si="0"/>
        <v>46505</v>
      </c>
      <c r="H17" s="6" t="str">
        <f t="shared" ca="1" si="1"/>
        <v>ساري</v>
      </c>
      <c r="I17" s="6" t="str">
        <f t="shared" ca="1" si="2"/>
        <v>منخفضة</v>
      </c>
      <c r="J17" s="6" t="s">
        <v>70</v>
      </c>
      <c r="K17" s="6" t="s">
        <v>123</v>
      </c>
    </row>
    <row r="18" spans="1:18" ht="14.25" customHeight="1">
      <c r="A18" s="6" t="s">
        <v>68</v>
      </c>
      <c r="B18" s="6" t="s">
        <v>72</v>
      </c>
      <c r="C18" s="6" t="s">
        <v>92</v>
      </c>
      <c r="D18" s="6" t="s">
        <v>124</v>
      </c>
      <c r="E18" s="10">
        <v>46554</v>
      </c>
      <c r="F18" s="5">
        <f ca="1">Tracker_All[[#This Row],[تاريخ الانتهاء]]-TODAY()</f>
        <v>281</v>
      </c>
      <c r="G18" s="4">
        <f t="shared" si="0"/>
        <v>46524</v>
      </c>
      <c r="H18" s="6" t="str">
        <f t="shared" ca="1" si="1"/>
        <v>ساري</v>
      </c>
      <c r="I18" s="6" t="str">
        <f t="shared" ca="1" si="2"/>
        <v>منخفضة</v>
      </c>
      <c r="J18" s="6" t="s">
        <v>70</v>
      </c>
      <c r="K18" s="6" t="s">
        <v>125</v>
      </c>
    </row>
    <row r="19" spans="1:18" ht="14.25" customHeight="1">
      <c r="A19" s="6" t="s">
        <v>18</v>
      </c>
      <c r="B19" s="6" t="s">
        <v>128</v>
      </c>
      <c r="C19" s="6" t="s">
        <v>129</v>
      </c>
      <c r="D19" s="6" t="s">
        <v>129</v>
      </c>
      <c r="E19" s="10">
        <v>46398</v>
      </c>
      <c r="F19" s="5">
        <f ca="1">E19-TODAY()</f>
        <v>125</v>
      </c>
      <c r="G19" s="4">
        <f t="shared" si="0"/>
        <v>46368</v>
      </c>
      <c r="H19" s="6" t="str">
        <f t="shared" ca="1" si="1"/>
        <v>ساري</v>
      </c>
      <c r="I19" s="6" t="str">
        <f t="shared" ca="1" si="2"/>
        <v>منخفضة</v>
      </c>
      <c r="J19" s="6" t="s">
        <v>21</v>
      </c>
      <c r="K19" s="6" t="s">
        <v>32</v>
      </c>
    </row>
    <row r="20" spans="1:18" ht="14.25" customHeight="1">
      <c r="A20" s="8" t="s">
        <v>18</v>
      </c>
      <c r="B20" s="8" t="s">
        <v>76</v>
      </c>
      <c r="C20" s="8" t="s">
        <v>77</v>
      </c>
      <c r="D20" s="8" t="s">
        <v>130</v>
      </c>
      <c r="E20" s="9">
        <v>46526</v>
      </c>
      <c r="F20" s="5">
        <f ca="1">E20-TODAY()</f>
        <v>253</v>
      </c>
      <c r="G20" s="4">
        <f t="shared" si="0"/>
        <v>46496</v>
      </c>
      <c r="H20" s="12" t="str">
        <f t="shared" ca="1" si="1"/>
        <v>ساري</v>
      </c>
      <c r="I20" s="12" t="str">
        <f t="shared" ca="1" si="2"/>
        <v>منخفضة</v>
      </c>
      <c r="J20" s="8" t="s">
        <v>21</v>
      </c>
      <c r="K20" s="8" t="s">
        <v>32</v>
      </c>
      <c r="L20" s="7" t="s">
        <v>79</v>
      </c>
      <c r="M20" s="7" t="s">
        <v>80</v>
      </c>
      <c r="N20" s="7" t="s">
        <v>131</v>
      </c>
      <c r="O20" t="s">
        <v>82</v>
      </c>
      <c r="P20" t="s">
        <v>132</v>
      </c>
      <c r="Q20" t="s">
        <v>27</v>
      </c>
      <c r="R20" s="7" t="s">
        <v>121</v>
      </c>
    </row>
    <row r="21" spans="1:18" ht="14.25" customHeight="1">
      <c r="A21" s="3" t="s">
        <v>18</v>
      </c>
      <c r="B21" s="3" t="s">
        <v>163</v>
      </c>
      <c r="C21" s="3" t="s">
        <v>162</v>
      </c>
      <c r="D21" s="3" t="s">
        <v>164</v>
      </c>
      <c r="E21" s="4">
        <v>46599</v>
      </c>
      <c r="F21" s="5">
        <f ca="1">E21-TODAY()</f>
        <v>326</v>
      </c>
      <c r="G21" s="4">
        <f t="shared" ref="G21" si="5">IF(E21="","",E21-30)</f>
        <v>46569</v>
      </c>
      <c r="H21" s="12" t="str">
        <f t="shared" ref="H21" ca="1" si="6">IF(E21="","بدون تاريخ",IF(F21&lt;0,"منتهي",IF(F21&lt;=30,"حرج",IF(F21&lt;=60,"قريب","ساري"))))</f>
        <v>ساري</v>
      </c>
      <c r="I21" s="12" t="str">
        <f t="shared" ref="I21" ca="1" si="7">IF(H21="بدون تاريخ","مراجعة مطلوبة",IF(H21="منتهي","عالية",IF(H21="حرج","عالية",IF(H21="قريب","متوسطة","منخفضة"))))</f>
        <v>منخفضة</v>
      </c>
      <c r="J21" s="3" t="s">
        <v>21</v>
      </c>
      <c r="K21" s="3"/>
      <c r="L21" s="7" t="s">
        <v>161</v>
      </c>
      <c r="M21" s="7" t="s">
        <v>160</v>
      </c>
      <c r="N21" s="7" t="s">
        <v>159</v>
      </c>
      <c r="P21" t="s">
        <v>158</v>
      </c>
      <c r="Q21" t="s">
        <v>27</v>
      </c>
      <c r="R21" t="s">
        <v>157</v>
      </c>
    </row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0"/>
  <sheetViews>
    <sheetView zoomScaleNormal="100" workbookViewId="0">
      <selection activeCell="A20" sqref="A20:XFD20"/>
    </sheetView>
  </sheetViews>
  <sheetFormatPr defaultColWidth="8.6328125" defaultRowHeight="14.5"/>
  <cols>
    <col min="1" max="1" width="6" customWidth="1"/>
    <col min="2" max="2" width="60" customWidth="1"/>
  </cols>
  <sheetData>
    <row r="1" spans="1:2" ht="14.25" customHeight="1">
      <c r="A1" s="13"/>
      <c r="B1" s="14"/>
    </row>
    <row r="2" spans="1:2" ht="14.25" customHeight="1">
      <c r="A2" s="13"/>
      <c r="B2" s="15" t="s">
        <v>133</v>
      </c>
    </row>
    <row r="3" spans="1:2" ht="14.25" customHeight="1">
      <c r="A3" s="13"/>
      <c r="B3" s="14"/>
    </row>
    <row r="4" spans="1:2" ht="14.25" customHeight="1">
      <c r="A4" s="13" t="s">
        <v>134</v>
      </c>
      <c r="B4" s="14" t="s">
        <v>135</v>
      </c>
    </row>
    <row r="5" spans="1:2" ht="14.25" customHeight="1">
      <c r="A5" s="13" t="s">
        <v>136</v>
      </c>
      <c r="B5" s="14" t="s">
        <v>137</v>
      </c>
    </row>
    <row r="6" spans="1:2" ht="14.25" customHeight="1">
      <c r="A6" s="13" t="s">
        <v>138</v>
      </c>
      <c r="B6" s="14" t="s">
        <v>139</v>
      </c>
    </row>
    <row r="7" spans="1:2" ht="14.25" customHeight="1">
      <c r="A7" s="13" t="s">
        <v>140</v>
      </c>
      <c r="B7" s="14" t="s">
        <v>141</v>
      </c>
    </row>
    <row r="8" spans="1:2" ht="14.25" customHeight="1">
      <c r="A8" s="13" t="s">
        <v>142</v>
      </c>
      <c r="B8" s="14" t="s">
        <v>143</v>
      </c>
    </row>
    <row r="9" spans="1:2" ht="14.25" customHeight="1">
      <c r="A9" s="13"/>
      <c r="B9" s="14"/>
    </row>
    <row r="10" spans="1:2" ht="14.25" customHeight="1">
      <c r="A10" s="13"/>
      <c r="B10" s="16" t="s">
        <v>144</v>
      </c>
    </row>
    <row r="11" spans="1:2" ht="14.25" customHeight="1">
      <c r="A11" s="13"/>
      <c r="B11" s="14"/>
    </row>
    <row r="12" spans="1:2" ht="14.25" customHeight="1">
      <c r="A12" s="13"/>
      <c r="B12" s="16" t="s">
        <v>145</v>
      </c>
    </row>
    <row r="13" spans="1:2" ht="14.25" customHeight="1">
      <c r="A13" s="13"/>
      <c r="B13" s="14"/>
    </row>
    <row r="14" spans="1:2" ht="14.25" customHeight="1">
      <c r="A14" s="13"/>
      <c r="B14" s="16" t="s">
        <v>146</v>
      </c>
    </row>
    <row r="15" spans="1:2" ht="14.25" customHeight="1">
      <c r="A15" s="13"/>
      <c r="B15" s="14"/>
    </row>
    <row r="16" spans="1:2" ht="14.25" customHeight="1">
      <c r="A16" s="13"/>
      <c r="B16" s="16" t="s">
        <v>147</v>
      </c>
    </row>
    <row r="19" spans="1:11" ht="14.25" customHeight="1">
      <c r="A19" s="8" t="s">
        <v>68</v>
      </c>
      <c r="B19" s="8" t="s">
        <v>72</v>
      </c>
      <c r="C19" s="8" t="s">
        <v>73</v>
      </c>
      <c r="D19" s="8" t="s">
        <v>74</v>
      </c>
      <c r="E19" s="9">
        <v>46529</v>
      </c>
      <c r="F19" s="5" t="e">
        <f ca="1">Tracker_All[[#This Row],[تاريخ الانتهاء]]-TODAY()</f>
        <v>#VALUE!</v>
      </c>
      <c r="G19" s="4">
        <f>IF(E19="","",E19-30)</f>
        <v>46499</v>
      </c>
      <c r="H19" s="6" t="e">
        <f ca="1">IF(E19="","بدون تاريخ",IF(F19&lt;0,"منتهي",IF(F19&lt;=30,"حرج",IF(F19&lt;=60,"قريب","ساري"))))</f>
        <v>#VALUE!</v>
      </c>
      <c r="I19" s="6" t="e">
        <f ca="1">IF(H19="بدون تاريخ","مراجعة مطلوبة",IF(H19="منتهي","عالية",IF(H19="حرج","عالية",IF(H19="قريب","متوسطة","منخفضة"))))</f>
        <v>#VALUE!</v>
      </c>
      <c r="J19" s="8" t="s">
        <v>70</v>
      </c>
      <c r="K19" s="8" t="s">
        <v>75</v>
      </c>
    </row>
    <row r="20" spans="1:11" ht="14.25" customHeight="1">
      <c r="A20" s="11" t="s">
        <v>68</v>
      </c>
      <c r="B20" s="11" t="s">
        <v>69</v>
      </c>
      <c r="C20" s="11" t="s">
        <v>73</v>
      </c>
      <c r="D20" s="11" t="s">
        <v>127</v>
      </c>
      <c r="E20" s="10">
        <v>46215</v>
      </c>
      <c r="F20" s="5" t="e">
        <f ca="1">Tracker_All[[#This Row],[تاريخ الانتهاء]]-TODAY()</f>
        <v>#VALUE!</v>
      </c>
      <c r="G20" s="4">
        <f>IF(E20="","",E20-30)</f>
        <v>46185</v>
      </c>
      <c r="H20" s="6" t="e">
        <f ca="1">IF(E20="","بدون تاريخ",IF(F20&lt;0,"منتهي",IF(F20&lt;=30,"حرج",IF(F20&lt;=60,"قريب","ساري"))))</f>
        <v>#VALUE!</v>
      </c>
      <c r="I20" s="6" t="e">
        <f ca="1">IF(H20="بدون تاريخ","مراجعة مطلوبة",IF(H20="منتهي","عالية",IF(H20="حرج","عالية",IF(H20="قريب","متوسطة","منخفضة"))))</f>
        <v>#VALUE!</v>
      </c>
      <c r="J20" s="11" t="s">
        <v>70</v>
      </c>
      <c r="K20" s="11" t="s">
        <v>71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Tracker_All</vt:lpstr>
      <vt:lpstr>README_PowerBI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Hamad Alzaben</cp:lastModifiedBy>
  <cp:revision>0</cp:revision>
  <dcterms:created xsi:type="dcterms:W3CDTF">2026-06-02T09:46:17Z</dcterms:created>
  <dcterms:modified xsi:type="dcterms:W3CDTF">2026-09-08T08:18:35Z</dcterms:modified>
  <dc:language>en-US</dc:language>
</cp:coreProperties>
</file>