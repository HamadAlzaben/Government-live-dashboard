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29" documentId="13_ncr:1_{A9DB5D68-FAF6-475D-815D-D63DA13F66D7}" xr6:coauthVersionLast="47" xr6:coauthVersionMax="47" xr10:uidLastSave="{3F5D5E43-C8CA-4422-9EAC-D82602DF33A5}"/>
  <bookViews>
    <workbookView xWindow="9510" yWindow="0" windowWidth="9780" windowHeight="1137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1" l="1"/>
  <c r="H22" i="1"/>
  <c r="I22" i="1" s="1"/>
  <c r="G21" i="1"/>
  <c r="H21" i="1"/>
  <c r="I21" i="1" s="1"/>
  <c r="G12" i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<sst xmlns="http://schemas.openxmlformats.org/spreadsheetml/2006/main" count="272" uniqueCount="163">
  <si>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</si>
  <si>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</si>
  <si>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</si>
  <si>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</si>
  <si>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</si>
  <si>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</si>
  <si>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</si>
  <si>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</si>
  <si>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</si>
  <si>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</si>
  <si>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</si>
  <si>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</si>
  <si>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</si>
  <si>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</si>
  <si>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</si>
  <si>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</si>
  <si>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</si>
  <si>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</si>
  <si>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</si>
  <si>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</si>
  <si>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</si>
  <si>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</si>
  <si>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</si>
  <si>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</si>
  <si>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</si>
  <si>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</si>
  <si>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</si>
  <si>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</si>
  <si>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</si>
  <si>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</si>
  <si>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</si>
  <si>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</si>
  <si>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</si>
  <si>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</si>
  <si>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</si>
  <si>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</si>
  <si>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</si>
  <si>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</si>
  <si>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</si>
  <si>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</si>
  <si>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</si>
  <si>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</si>
  <si>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</si>
  <si>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</si>
  <si>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</si>
  <si>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</si>
  <si>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</si>
  <si>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</si>
  <si>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</si>
  <si>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</si>
  <si>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</si>
  <si>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</si>
  <si>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</si>
  <si>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</si>
  <si>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</si>
  <si>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</si>
  <si>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</si>
  <si>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</si>
  <si>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</si>
  <si>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</si>
  <si>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</si>
  <si>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</si>
  <si>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</si>
  <si>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</si>
  <si>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</si>
  <si>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</si>
  <si>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</si>
  <si>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</si>
  <si>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</si>
  <si>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</si>
  <si>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</si>
  <si>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</si>
  <si>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</si>
  <si>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</si>
  <si>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</si>
  <si>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</si>
  <si>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</si>
  <si>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</si>
  <si>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</si>
  <si>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</si>
  <si>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</si>
  <si>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</si>
  <si>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</si>
  <si>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</si>
  <si>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</si>
  <si>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</si>
  <si>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</si>
  <si>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</si>
  <si>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</si>
  <si>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</si>
  <si>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</si>
  <si>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</si>
  <si>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</si>
  <si>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</si>
  <si>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</si>
  <si>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</si>
  <si>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</si>
  <si>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</si>
  <si>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</si>
  <si>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</si>
  <si>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</si>
  <si>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</si>
  <si>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</si>
  <si>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</si>
  <si>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</si>
  <si>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</si>
  <si>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</si>
  <si>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</si>
  <si>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</si>
  <si>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</si>
  <si>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</si>
  <si>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</si>
  <si>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</si>
  <si>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</si>
  <si>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</si>
  <si>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</si>
  <si>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</si>
  <si>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</si>
  <si>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</si>
  <si>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</si>
  <si>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</si>
  <si>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</si>
  <si>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</si>
  <si>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</si>
  <si>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</si>
  <si>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</si>
  <si>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</si>
  <si>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</si>
  <si>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</si>
  <si>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</si>
  <si>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</si>
  <si>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</si>
  <si>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</si>
  <si>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</si>
  <si>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</si>
  <si>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</si>
  <si>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</si>
  <si>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</si>
  <si>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</si>
  <si>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</si>
  <si>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</si>
  <si>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</si>
  <si>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</si>
  <si>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</si>
  <si>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</si>
  <si>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</si>
  <si>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</si>
  <si>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</si>
  <si>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</si>
  <si>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</si>
  <si>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</si>
  <si>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</si>
  <si>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</si>
  <si>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</si>
  <si>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</si>
  <si>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</si>
  <si>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</si>
  <si>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</si>
  <si>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</si>
  <si>
    <t>VAT</t>
  </si>
  <si>
    <r>
      <t>رقم الشهادة</t>
    </r>
    <r>
      <rPr>
        <sz val="11"/>
        <color theme="1"/>
        <rFont val="Calibri"/>
        <charset val="1"/>
      </rPr>
      <t>: 100261180389068</t>
    </r>
  </si>
  <si>
    <t>VAT - cert.pdf</t>
  </si>
  <si>
    <r>
      <t xml:space="preserve">شهادة تسجيل في ضريبة القيمة المضافة  – </t>
    </r>
    <r>
      <rPr>
        <sz val="11"/>
        <color theme="1"/>
        <rFont val="Calibri"/>
        <charset val="1"/>
      </rPr>
      <t>VAT Registration Certificate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</si>
</sst>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tabSelected="1" topLeftCell="L2" zoomScaleNormal="100" workbookViewId="0">
      <selection activeCell="L21" sqref="L21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154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153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131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156</v>
      </c>
      <c r="O12" t="s">
        <v>105</v>
      </c>
      <c r="P12" t="s">
        <v>157</v>
      </c>
      <c r="Q12" t="s">
        <v>27</v>
      </c>
      <c r="R12" t="s">
        <v>106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155</v>
      </c>
      <c r="O13" t="s">
        <v>105</v>
      </c>
      <c r="P13" t="s">
        <v>158</v>
      </c>
      <c r="Q13" t="s">
        <v>42</v>
      </c>
      <c r="R13" t="s">
        <v>106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107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108</v>
      </c>
      <c r="O14" t="s">
        <v>109</v>
      </c>
      <c r="P14" t="s">
        <v>110</v>
      </c>
      <c r="Q14" t="s">
        <v>42</v>
      </c>
      <c r="R14" t="s">
        <v>111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112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113</v>
      </c>
      <c r="M15" s="7" t="s">
        <v>58</v>
      </c>
      <c r="N15" s="7" t="s">
        <v>114</v>
      </c>
      <c r="O15" t="s">
        <v>115</v>
      </c>
      <c r="P15" t="s">
        <v>116</v>
      </c>
      <c r="Q15" t="s">
        <v>42</v>
      </c>
      <c r="R15" s="7" t="s">
        <v>117</v>
      </c>
    </row>
    <row r="16" spans="1:18" ht="14.25" customHeight="1">
      <c r="A16" s="6" t="s">
        <v>18</v>
      </c>
      <c r="B16" s="6" t="s">
        <v>118</v>
      </c>
      <c r="C16" s="6" t="s">
        <v>119</v>
      </c>
      <c r="D16" s="6" t="s">
        <v>120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121</v>
      </c>
      <c r="M16" s="7" t="s">
        <v>122</v>
      </c>
      <c r="N16" s="7" t="s">
        <v>123</v>
      </c>
      <c r="O16" t="s">
        <v>124</v>
      </c>
      <c r="P16" t="s">
        <v>125</v>
      </c>
      <c r="Q16" t="s">
        <v>27</v>
      </c>
      <c r="R16" s="7" t="s">
        <v>126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127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128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129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130</v>
      </c>
    </row>
    <row r="19" spans="1:18" ht="14.25" customHeight="1">
      <c r="A19" s="6" t="s">
        <v>18</v>
      </c>
      <c r="B19" s="6" t="s">
        <v>133</v>
      </c>
      <c r="C19" s="6" t="s">
        <v>134</v>
      </c>
      <c r="D19" s="6" t="s">
        <v>134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135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136</v>
      </c>
      <c r="O20" t="s">
        <v>84</v>
      </c>
      <c r="P20" t="s">
        <v>137</v>
      </c>
      <c r="Q20" t="s">
        <v>27</v>
      </c>
      <c r="R20" s="7" t="s">
        <v>126</v>
      </c>
    </row>
    <row r="21" spans="1:18" ht="14.25" customHeight="1">
      <c r="A21" s="3" t="s">
        <v>18</v>
      </c>
      <c r="B21" s="3" t="s">
        <v>19</v>
      </c>
      <c r="C21" s="3" t="s">
        <v>20</v>
      </c>
      <c r="D21" s="3" t="s">
        <v>159</v>
      </c>
      <c r="E21" s="4"/>
      <c r="F21" s="5"/>
      <c r="G21" s="4" t="str">
        <f t="shared" ref="G21:G22" si="5">IF(E21="","",E21-30)</f>
        <v/>
      </c>
      <c r="H21" s="6" t="str">
        <f t="shared" ref="H21:H22" si="6">IF(E21="","بدون تاريخ",IF(F21&lt;0,"منتهي",IF(F21&lt;=30,"حرج",IF(F21&lt;=60,"قريب","ساري"))))</f>
        <v>بدون تاريخ</v>
      </c>
      <c r="I21" s="6" t="str">
        <f t="shared" ref="I21:I22" si="7">IF(H21="بدون تاريخ","مراجعة مطلوبة",IF(H21="منتهي","عالية",IF(H21="حرج","عالية",IF(H21="قريب","متوسطة","منخفضة"))))</f>
        <v>مراجعة مطلوبة</v>
      </c>
      <c r="J21" s="3" t="s">
        <v>21</v>
      </c>
      <c r="K21" s="3"/>
      <c r="L21" s="7" t="s">
        <v>162</v>
      </c>
      <c r="M21" s="7" t="s">
        <v>23</v>
      </c>
      <c r="N21" s="7" t="s">
        <v>160</v>
      </c>
      <c r="P21" t="s">
        <v>161</v>
      </c>
      <c r="Q21" t="s">
        <v>27</v>
      </c>
      <c r="R21" t="s">
        <v>28</v>
      </c>
    </row>
    <row r="22" spans="1:18" ht="14.25" customHeight="1">
      <c r="A22" s="3" t="s">
        <v>18</v>
      </c>
      <c r="B22" s="3" t="s">
        <v>19</v>
      </c>
      <c r="C22" s="3" t="s">
        <v>20</v>
      </c>
      <c r="D22" s="3" t="s">
        <v>159</v>
      </c>
      <c r="E22" s="4"/>
      <c r="F22" s="5"/>
      <c r="G22" s="4" t="str">
        <f t="shared" si="5"/>
        <v/>
      </c>
      <c r="H22" s="6" t="str">
        <f t="shared" si="6"/>
        <v>بدون تاريخ</v>
      </c>
      <c r="I22" s="6" t="str">
        <f t="shared" si="7"/>
        <v>مراجعة مطلوبة</v>
      </c>
      <c r="J22" s="3" t="s">
        <v>21</v>
      </c>
      <c r="K22" s="3"/>
      <c r="L22" s="7" t="s">
        <v>162</v>
      </c>
      <c r="M22" s="7" t="s">
        <v>23</v>
      </c>
      <c r="N22" s="7" t="s">
        <v>160</v>
      </c>
      <c r="P22" t="s">
        <v>161</v>
      </c>
      <c r="Q22" t="s">
        <v>42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138</v>
      </c>
    </row>
    <row r="3" spans="1:2" ht="14.25" customHeight="1">
      <c r="A3" s="13"/>
      <c r="B3" s="14"/>
    </row>
    <row r="4" spans="1:2" ht="14.25" customHeight="1">
      <c r="A4" s="13" t="s">
        <v>139</v>
      </c>
      <c r="B4" s="14" t="s">
        <v>140</v>
      </c>
    </row>
    <row r="5" spans="1:2" ht="14.25" customHeight="1">
      <c r="A5" s="13" t="s">
        <v>141</v>
      </c>
      <c r="B5" s="14" t="s">
        <v>142</v>
      </c>
    </row>
    <row r="6" spans="1:2" ht="14.25" customHeight="1">
      <c r="A6" s="13" t="s">
        <v>143</v>
      </c>
      <c r="B6" s="14" t="s">
        <v>144</v>
      </c>
    </row>
    <row r="7" spans="1:2" ht="14.25" customHeight="1">
      <c r="A7" s="13" t="s">
        <v>145</v>
      </c>
      <c r="B7" s="14" t="s">
        <v>146</v>
      </c>
    </row>
    <row r="8" spans="1:2" ht="14.25" customHeight="1">
      <c r="A8" s="13" t="s">
        <v>147</v>
      </c>
      <c r="B8" s="14" t="s">
        <v>148</v>
      </c>
    </row>
    <row r="9" spans="1:2" ht="14.25" customHeight="1">
      <c r="A9" s="13"/>
      <c r="B9" s="14"/>
    </row>
    <row r="10" spans="1:2" ht="14.25" customHeight="1">
      <c r="A10" s="13"/>
      <c r="B10" s="16" t="s">
        <v>149</v>
      </c>
    </row>
    <row r="11" spans="1:2" ht="14.25" customHeight="1">
      <c r="A11" s="13"/>
      <c r="B11" s="14"/>
    </row>
    <row r="12" spans="1:2" ht="14.25" customHeight="1">
      <c r="A12" s="13"/>
      <c r="B12" s="16" t="s">
        <v>150</v>
      </c>
    </row>
    <row r="13" spans="1:2" ht="14.25" customHeight="1">
      <c r="A13" s="13"/>
      <c r="B13" s="14"/>
    </row>
    <row r="14" spans="1:2" ht="14.25" customHeight="1">
      <c r="A14" s="13"/>
      <c r="B14" s="16" t="s">
        <v>151</v>
      </c>
    </row>
    <row r="15" spans="1:2" ht="14.25" customHeight="1">
      <c r="A15" s="13"/>
      <c r="B15" s="14"/>
    </row>
    <row r="16" spans="1:2" ht="14.25" customHeight="1">
      <c r="A16" s="13"/>
      <c r="B16" s="16" t="s">
        <v>152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132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2026-08-23T10:28:57Z</dcterms:modified>
  <dc:language>en-US</dc:language>
</cp:coreProperties>
</file>