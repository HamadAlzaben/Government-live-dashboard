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60" documentId="13_ncr:1_{A9DB5D68-FAF6-475D-815D-D63DA13F66D7}" xr6:coauthVersionLast="47" xr6:coauthVersionMax="47" xr10:uidLastSave="{5D296A95-32C5-491C-A1AC-DDF209E0FC16}"/>
  <bookViews>
    <workbookView xWindow="28680" yWindow="-1425" windowWidth="29040" windowHeight="15720" tabRatio="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1" l="1"/>
  <c r="H21" i="1" s="1"/>
  <c r="I21" i="1" s="1"/>
  <c r="G21" i="1"/>
  <c r="G12" i="1"/>
  <c r="F12" i="1"/>
  <c r="H12" i="1" s="1"/>
  <c r="I12" i="1" s="1"/>
  <c r="G20" i="2"/>
  <c r="F20" i="2"/>
  <c r="H20" i="2" s="1"/>
  <c r="I20" i="2" s="1"/>
  <c r="F19" i="2"/>
  <c r="H19" i="2" s="1"/>
  <c r="I19" i="2" s="1"/>
  <c r="G19" i="2"/>
  <c r="G4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F4" i="1"/>
  <c r="G3" i="1"/>
  <c r="F3" i="1"/>
  <c r="G2" i="1"/>
  <c r="F2" i="1"/>
  <c r="H2" i="1" s="1"/>
  <c r="H19" i="1" l="1"/>
  <c r="I19" i="1" s="1"/>
  <c r="H13" i="1"/>
  <c r="I13" i="1" s="1"/>
  <c r="H11" i="1"/>
  <c r="I11" i="1" s="1"/>
  <c r="H10" i="1"/>
  <c r="I10" i="1" s="1"/>
  <c r="H20" i="1"/>
  <c r="I20" i="1" s="1"/>
  <c r="H16" i="1"/>
  <c r="I16" i="1" s="1"/>
  <c r="H15" i="1"/>
  <c r="I15" i="1" s="1"/>
  <c r="H18" i="1"/>
  <c r="I18" i="1" s="1"/>
  <c r="H17" i="1"/>
  <c r="I17" i="1" s="1"/>
  <c r="H14" i="1"/>
  <c r="I14" i="1" s="1"/>
  <c r="H3" i="1"/>
  <c r="I3" i="1" s="1"/>
  <c r="H9" i="1"/>
  <c r="I9" i="1" s="1"/>
  <c r="H7" i="1"/>
  <c r="I7" i="1" s="1"/>
  <c r="H4" i="1"/>
  <c r="I4" i="1" s="1"/>
  <c r="H8" i="1"/>
  <c r="I8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<sst xmlns="http://schemas.openxmlformats.org/spreadsheetml/2006/main" count="262" uniqueCount="167">
  <si>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</si>
  <si>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</si>
  <si>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</si>
  <si>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</si>
  <si>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</si>
  <si>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</si>
  <si>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</si>
  <si>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</si>
  <si>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</si>
  <si>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</si>
  <si>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</si>
  <si>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</si>
  <si>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</si>
  <si>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</si>
  <si>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</si>
  <si>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</si>
  <si>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</si>
  <si>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</si>
  <si>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</si>
  <si>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</si>
  <si>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</si>
  <si>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</si>
  <si>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</si>
  <si>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</si>
  <si>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</si>
  <si>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</si>
  <si>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</si>
  <si>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</si>
  <si>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</si>
  <si>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</si>
  <si>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</si>
  <si>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</si>
  <si>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</si>
  <si>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</si>
  <si>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</si>
  <si>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</si>
  <si>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</si>
  <si>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</si>
  <si>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</si>
  <si>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t>18/12/2025</t>
  </si>
  <si>
    <t>CR42</t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</si>
  <si>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</si>
  <si>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</si>
  <si>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</si>
  <si>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</si>
  <si>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</si>
  <si>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</si>
  <si>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</si>
  <si>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</si>
  <si>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</si>
  <si>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</si>
  <si>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</si>
  <si>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</si>
  <si>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</si>
  <si>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</si>
  <si>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</si>
  <si>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</si>
  <si>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</si>
  <si>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</si>
  <si>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</si>
  <si>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</si>
  <si>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</si>
  <si>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</si>
  <si>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</si>
  <si>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</si>
  <si>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</si>
  <si>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</si>
  <si>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</si>
  <si>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</si>
  <si>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</si>
  <si>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</si>
  <si>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</si>
  <si>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</si>
  <si>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</si>
  <si>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</si>
  <si>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</si>
  <si>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</si>
  <si>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</si>
  <si>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</si>
  <si>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</si>
  <si>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</si>
  <si>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</si>
  <si>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</si>
  <si>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</si>
  <si>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</si>
  <si>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</si>
  <si>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</si>
  <si>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</si>
  <si>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</si>
  <si>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</si>
  <si>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t>11/04/2026</t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</si>
  <si>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</si>
  <si>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</si>
  <si>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</si>
  <si>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</si>
  <si>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</si>
  <si>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</si>
  <si>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</si>
  <si>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</si>
  <si>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t>3/2/2026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</si>
  <si>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</si>
  <si>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</si>
  <si>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</si>
  <si>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</si>
  <si>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</si>
  <si>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</si>
  <si>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</si>
  <si>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</si>
  <si>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</si>
  <si>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</si>
  <si>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</si>
  <si>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</si>
  <si>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</si>
  <si>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</si>
  <si>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</si>
  <si>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</si>
  <si>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</si>
  <si>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</si>
  <si>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</si>
  <si>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</si>
  <si>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</si>
  <si>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</si>
  <si>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</si>
  <si>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</si>
  <si>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</si>
  <si>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</si>
  <si>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</si>
  <si>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</si>
  <si>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</si>
  <si>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</si>
  <si>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</si>
  <si>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</si>
  <si>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</si>
  <si>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</si>
  <si>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</si>
  <si>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</si>
  <si>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</si>
  <si>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</si>
  <si>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</si>
  <si>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</si>
  <si>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</si>
  <si>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</si>
  <si>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</si>
  <si>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</si>
  <si>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</si>
  <si>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</si>
  <si>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</si>
  <si>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</si>
  <si>
    <r>
      <t>رقم الشهادة</t>
    </r>
    <r>
      <rPr>
        <sz val="11"/>
        <color theme="1"/>
        <rFont val="Calibri"/>
        <charset val="1"/>
      </rPr>
      <t>: 256343-19899920</t>
    </r>
  </si>
  <si>
    <r>
      <t>رقم الإثبات</t>
    </r>
    <r>
      <rPr>
        <sz val="11"/>
        <color theme="1"/>
        <rFont val="Calibri"/>
        <charset val="1"/>
      </rPr>
      <t>: 1080130933</t>
    </r>
  </si>
  <si>
    <t>رقم الإثبات: 1090961124</t>
  </si>
  <si>
    <t>Address Meirc Consulting Training.pdf</t>
  </si>
  <si>
    <t>Address Meirc Training Center.pdf</t>
  </si>
  <si>
    <r>
      <rPr>
        <sz val="11"/>
        <color theme="1"/>
        <rFont val="Calibri"/>
        <family val="2"/>
      </rPr>
      <t>GOSI CR42 11-25</t>
    </r>
    <r>
      <rPr>
        <sz val="11"/>
        <color theme="1"/>
        <rFont val="Calibri"/>
        <charset val="1"/>
      </rPr>
      <t>.pdf</t>
    </r>
  </si>
  <si>
    <r>
      <t>رمز الشهادة</t>
    </r>
    <r>
      <rPr>
        <sz val="11"/>
        <color theme="1"/>
        <rFont val="Calibri"/>
        <charset val="1"/>
      </rPr>
      <t>: 119567603</t>
    </r>
  </si>
  <si>
    <r>
      <t>رقم الاشتراك</t>
    </r>
    <r>
      <rPr>
        <sz val="11"/>
        <color theme="1"/>
        <rFont val="Calibri"/>
        <charset val="1"/>
      </rPr>
      <t xml:space="preserve">: 638909642 · 9 </t>
    </r>
    <r>
      <rPr>
        <sz val="11"/>
        <color theme="1"/>
        <rFont val="FreeSans"/>
        <family val="2"/>
      </rPr>
      <t>مشتركين</t>
    </r>
  </si>
  <si>
    <t>رقم الشهادة : 318666 M</t>
  </si>
  <si>
    <t>Local Content Certificate.pdf</t>
  </si>
  <si>
    <t xml:space="preserve"> 318666 M</t>
  </si>
  <si>
    <t>هيئة المحتوى المحلي والمشتريات الحكومية</t>
  </si>
  <si>
    <t>شهادة المحتوى المحلي - Local Content Certificate</t>
  </si>
  <si>
    <t>Local Content &amp; Government Procurement Authority</t>
  </si>
  <si>
    <t>Local Content Certificate</t>
  </si>
  <si>
    <t>Local Content</t>
  </si>
  <si>
    <t>Nationalization Certificate -CR42- Expiring Dec 6th.pdf</t>
  </si>
  <si>
    <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71%</t>
    </r>
  </si>
  <si>
    <t>Meirc 32 Nationalization Saudization Certificate EXP Jan1st 2027.pdf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</si>
</sst>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9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18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"/>
  <sheetViews>
    <sheetView tabSelected="1" topLeftCell="D1" zoomScaleNormal="100" workbookViewId="0">
      <selection activeCell="R4" sqref="R4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  <col min="14" max="14" width="26" bestFit="1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205</v>
      </c>
      <c r="G2" s="4">
        <f t="shared" ref="G2:G20" si="0">IF(E2="","",E2-30)</f>
        <v>46477</v>
      </c>
      <c r="H2" s="6" t="str">
        <f t="shared" ref="H2:H20" ca="1" si="1">IF(E2="","بدون تاريخ",IF(F2&lt;0,"منتهي",IF(F2&lt;=30,"حرج",IF(F2&lt;=60,"قريب","ساري"))))</f>
        <v>ساري</v>
      </c>
      <c r="I2" s="6" t="str">
        <f t="shared" ref="I2:I20" ca="1" si="2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46388</v>
      </c>
      <c r="F3" s="5">
        <f ca="1">Tracker_All[[#This Row],[تاريخ الانتهاء]]-TODAY()</f>
        <v>86</v>
      </c>
      <c r="G3" s="4">
        <f t="shared" si="0"/>
        <v>46358</v>
      </c>
      <c r="H3" s="6" t="str">
        <f t="shared" ca="1" si="1"/>
        <v>ساري</v>
      </c>
      <c r="I3" s="6" t="str">
        <f t="shared" ca="1" si="2"/>
        <v>منخفضة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166</v>
      </c>
      <c r="Q3" t="s">
        <v>27</v>
      </c>
      <c r="R3" s="7" t="s">
        <v>37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38</v>
      </c>
      <c r="E4" s="4">
        <v>46362</v>
      </c>
      <c r="F4" s="5">
        <f ca="1">Tracker_All[[#This Row],[تاريخ الانتهاء]]-TODAY()</f>
        <v>60</v>
      </c>
      <c r="G4" s="4">
        <f t="shared" si="0"/>
        <v>46332</v>
      </c>
      <c r="H4" s="6" t="str">
        <f t="shared" ca="1" si="1"/>
        <v>قريب</v>
      </c>
      <c r="I4" s="6" t="str">
        <f t="shared" ca="1" si="2"/>
        <v>متوسطة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148</v>
      </c>
      <c r="O4" t="s">
        <v>39</v>
      </c>
      <c r="P4" t="s">
        <v>164</v>
      </c>
      <c r="Q4" t="s">
        <v>40</v>
      </c>
      <c r="R4" s="7" t="s">
        <v>165</v>
      </c>
    </row>
    <row r="5" spans="1:18" ht="14.25" customHeight="1">
      <c r="A5" s="3" t="s">
        <v>18</v>
      </c>
      <c r="B5" s="3" t="s">
        <v>41</v>
      </c>
      <c r="C5" s="3" t="s">
        <v>42</v>
      </c>
      <c r="D5" s="3" t="s">
        <v>43</v>
      </c>
      <c r="E5" s="4">
        <v>46532</v>
      </c>
      <c r="F5" s="5">
        <f ca="1">Tracker_All[[#This Row],[تاريخ الانتهاء]]-TODAY()</f>
        <v>230</v>
      </c>
      <c r="G5" s="4">
        <f t="shared" si="0"/>
        <v>46502</v>
      </c>
      <c r="H5" s="6" t="str">
        <f t="shared" ca="1" si="1"/>
        <v>ساري</v>
      </c>
      <c r="I5" s="6" t="str">
        <f t="shared" ca="1" si="2"/>
        <v>منخفضة</v>
      </c>
      <c r="J5" s="3" t="s">
        <v>21</v>
      </c>
      <c r="K5" s="3" t="s">
        <v>32</v>
      </c>
      <c r="L5" s="7" t="s">
        <v>44</v>
      </c>
      <c r="M5" s="7" t="s">
        <v>45</v>
      </c>
      <c r="N5" s="7" t="s">
        <v>46</v>
      </c>
      <c r="O5" t="s">
        <v>47</v>
      </c>
      <c r="P5" t="s">
        <v>48</v>
      </c>
      <c r="Q5" t="s">
        <v>27</v>
      </c>
      <c r="R5" t="s">
        <v>49</v>
      </c>
    </row>
    <row r="6" spans="1:18" ht="24.75" customHeight="1">
      <c r="A6" s="3" t="s">
        <v>18</v>
      </c>
      <c r="B6" s="3" t="s">
        <v>50</v>
      </c>
      <c r="C6" s="3" t="s">
        <v>51</v>
      </c>
      <c r="D6" s="3" t="s">
        <v>52</v>
      </c>
      <c r="E6" s="4">
        <v>46532</v>
      </c>
      <c r="F6" s="5">
        <f ca="1">Tracker_All[[#This Row],[تاريخ الانتهاء]]-TODAY()</f>
        <v>230</v>
      </c>
      <c r="G6" s="4">
        <f t="shared" si="0"/>
        <v>46502</v>
      </c>
      <c r="H6" s="6" t="str">
        <f t="shared" ca="1" si="1"/>
        <v>ساري</v>
      </c>
      <c r="I6" s="6" t="str">
        <f t="shared" ca="1" si="2"/>
        <v>منخفضة</v>
      </c>
      <c r="J6" s="3" t="s">
        <v>21</v>
      </c>
      <c r="K6" s="3" t="s">
        <v>53</v>
      </c>
      <c r="L6" s="7" t="s">
        <v>54</v>
      </c>
      <c r="M6" s="7" t="s">
        <v>55</v>
      </c>
      <c r="N6" s="7" t="s">
        <v>56</v>
      </c>
      <c r="O6" t="s">
        <v>57</v>
      </c>
      <c r="P6" t="s">
        <v>58</v>
      </c>
      <c r="Q6" t="s">
        <v>27</v>
      </c>
      <c r="R6" s="7" t="s">
        <v>59</v>
      </c>
    </row>
    <row r="7" spans="1:18" ht="14.25" customHeight="1">
      <c r="A7" s="3" t="s">
        <v>18</v>
      </c>
      <c r="B7" s="3" t="s">
        <v>60</v>
      </c>
      <c r="C7" s="3" t="s">
        <v>61</v>
      </c>
      <c r="D7" s="3" t="s">
        <v>61</v>
      </c>
      <c r="E7" s="4">
        <v>46951</v>
      </c>
      <c r="F7" s="5">
        <f ca="1">Tracker_All[[#This Row],[تاريخ الانتهاء]]-TODAY()</f>
        <v>649</v>
      </c>
      <c r="G7" s="4">
        <f t="shared" si="0"/>
        <v>46921</v>
      </c>
      <c r="H7" s="6" t="str">
        <f t="shared" ca="1" si="1"/>
        <v>ساري</v>
      </c>
      <c r="I7" s="6" t="str">
        <f t="shared" ca="1" si="2"/>
        <v>منخفضة</v>
      </c>
      <c r="J7" s="3" t="s">
        <v>21</v>
      </c>
      <c r="K7" s="3"/>
      <c r="L7" s="7" t="s">
        <v>62</v>
      </c>
      <c r="M7" s="7" t="s">
        <v>63</v>
      </c>
      <c r="N7" s="7" t="s">
        <v>64</v>
      </c>
      <c r="P7" t="s">
        <v>65</v>
      </c>
      <c r="Q7" t="s">
        <v>40</v>
      </c>
      <c r="R7" s="7" t="s">
        <v>66</v>
      </c>
    </row>
    <row r="8" spans="1:18" ht="14.25" customHeight="1">
      <c r="A8" s="8" t="s">
        <v>18</v>
      </c>
      <c r="B8" s="8" t="s">
        <v>75</v>
      </c>
      <c r="C8" s="8" t="s">
        <v>76</v>
      </c>
      <c r="D8" s="8" t="s">
        <v>77</v>
      </c>
      <c r="E8" s="9">
        <v>46526</v>
      </c>
      <c r="F8" s="5">
        <f ca="1">Tracker_All[[#This Row],[تاريخ الانتهاء]]-TODAY()</f>
        <v>224</v>
      </c>
      <c r="G8" s="4">
        <f t="shared" si="0"/>
        <v>46496</v>
      </c>
      <c r="H8" s="6" t="str">
        <f t="shared" ca="1" si="1"/>
        <v>ساري</v>
      </c>
      <c r="I8" s="6" t="str">
        <f t="shared" ca="1" si="2"/>
        <v>منخفضة</v>
      </c>
      <c r="J8" s="8" t="s">
        <v>21</v>
      </c>
      <c r="K8" s="8" t="s">
        <v>32</v>
      </c>
      <c r="L8" s="7" t="s">
        <v>78</v>
      </c>
      <c r="M8" s="7" t="s">
        <v>79</v>
      </c>
      <c r="N8" s="7" t="s">
        <v>80</v>
      </c>
      <c r="O8" t="s">
        <v>81</v>
      </c>
      <c r="P8" t="s">
        <v>82</v>
      </c>
      <c r="Q8" t="s">
        <v>40</v>
      </c>
      <c r="R8" s="7" t="s">
        <v>83</v>
      </c>
    </row>
    <row r="9" spans="1:18" ht="14.25" customHeight="1">
      <c r="A9" s="8" t="s">
        <v>67</v>
      </c>
      <c r="B9" s="8" t="s">
        <v>68</v>
      </c>
      <c r="C9" s="8" t="s">
        <v>84</v>
      </c>
      <c r="D9" s="8" t="s">
        <v>85</v>
      </c>
      <c r="E9" s="9">
        <v>46452</v>
      </c>
      <c r="F9" s="5">
        <f ca="1">Tracker_All[[#This Row],[تاريخ الانتهاء]]-TODAY()</f>
        <v>150</v>
      </c>
      <c r="G9" s="4">
        <f t="shared" si="0"/>
        <v>46422</v>
      </c>
      <c r="H9" s="6" t="str">
        <f t="shared" ca="1" si="1"/>
        <v>ساري</v>
      </c>
      <c r="I9" s="6" t="str">
        <f t="shared" ca="1" si="2"/>
        <v>منخفضة</v>
      </c>
      <c r="J9" s="8" t="s">
        <v>69</v>
      </c>
      <c r="K9" s="8" t="s">
        <v>70</v>
      </c>
    </row>
    <row r="10" spans="1:18" ht="14.25" customHeight="1">
      <c r="A10" s="6" t="s">
        <v>18</v>
      </c>
      <c r="B10" s="6" t="s">
        <v>86</v>
      </c>
      <c r="C10" s="6" t="s">
        <v>87</v>
      </c>
      <c r="D10" s="6" t="s">
        <v>147</v>
      </c>
      <c r="E10" s="10">
        <v>46351</v>
      </c>
      <c r="F10" s="5">
        <f ca="1">Tracker_All[[#This Row],[تاريخ الانتهاء]]-TODAY()</f>
        <v>49</v>
      </c>
      <c r="G10" s="4">
        <f t="shared" si="0"/>
        <v>46321</v>
      </c>
      <c r="H10" s="6" t="str">
        <f t="shared" ca="1" si="1"/>
        <v>قريب</v>
      </c>
      <c r="I10" s="6" t="str">
        <f t="shared" ca="1" si="2"/>
        <v>متوسطة</v>
      </c>
      <c r="J10" s="6" t="s">
        <v>21</v>
      </c>
      <c r="K10" s="6"/>
      <c r="L10" s="7" t="s">
        <v>88</v>
      </c>
      <c r="M10" s="7" t="s">
        <v>89</v>
      </c>
      <c r="N10" s="7" t="s">
        <v>154</v>
      </c>
      <c r="O10" t="s">
        <v>90</v>
      </c>
      <c r="P10" s="17" t="s">
        <v>153</v>
      </c>
      <c r="Q10" t="s">
        <v>40</v>
      </c>
      <c r="R10" s="7" t="s">
        <v>155</v>
      </c>
    </row>
    <row r="11" spans="1:18" ht="14.25" customHeight="1">
      <c r="A11" s="6" t="s">
        <v>67</v>
      </c>
      <c r="B11" s="6" t="s">
        <v>68</v>
      </c>
      <c r="C11" s="6" t="s">
        <v>91</v>
      </c>
      <c r="D11" s="6" t="s">
        <v>92</v>
      </c>
      <c r="E11" s="10">
        <v>46469</v>
      </c>
      <c r="F11" s="5">
        <f ca="1">Tracker_All[[#This Row],[تاريخ الانتهاء]]-TODAY()</f>
        <v>167</v>
      </c>
      <c r="G11" s="4">
        <f t="shared" si="0"/>
        <v>46439</v>
      </c>
      <c r="H11" s="6" t="str">
        <f t="shared" ca="1" si="1"/>
        <v>ساري</v>
      </c>
      <c r="I11" s="6" t="str">
        <f t="shared" ca="1" si="2"/>
        <v>منخفضة</v>
      </c>
      <c r="J11" s="6" t="s">
        <v>69</v>
      </c>
      <c r="K11" s="6" t="s">
        <v>93</v>
      </c>
    </row>
    <row r="12" spans="1:18" ht="14.25" customHeight="1">
      <c r="A12" s="6" t="s">
        <v>18</v>
      </c>
      <c r="B12" s="6" t="s">
        <v>94</v>
      </c>
      <c r="C12" s="6" t="s">
        <v>95</v>
      </c>
      <c r="D12" s="6" t="s">
        <v>125</v>
      </c>
      <c r="E12" s="10">
        <v>46419</v>
      </c>
      <c r="F12" s="5">
        <f ca="1">Tracker_All[[#This Row],[تاريخ الانتهاء]]-TODAY()</f>
        <v>117</v>
      </c>
      <c r="G12" s="4">
        <f t="shared" ref="G12" si="3">IF(E12="","",E12-30)</f>
        <v>46389</v>
      </c>
      <c r="H12" s="6" t="str">
        <f t="shared" ref="H12" ca="1" si="4">IF(E12="","بدون تاريخ",IF(F12&lt;0,"منتهي",IF(F12&lt;=30,"حرج",IF(F12&lt;=60,"قريب","ساري"))))</f>
        <v>ساري</v>
      </c>
      <c r="I12" s="6" t="str">
        <f t="shared" ca="1" si="2"/>
        <v>منخفضة</v>
      </c>
      <c r="J12" s="6" t="s">
        <v>21</v>
      </c>
      <c r="K12" s="6"/>
      <c r="L12" s="7" t="s">
        <v>97</v>
      </c>
      <c r="M12" s="7" t="s">
        <v>98</v>
      </c>
      <c r="N12" s="7" t="s">
        <v>150</v>
      </c>
      <c r="O12" t="s">
        <v>99</v>
      </c>
      <c r="P12" t="s">
        <v>151</v>
      </c>
      <c r="Q12" t="s">
        <v>27</v>
      </c>
      <c r="R12" t="s">
        <v>100</v>
      </c>
    </row>
    <row r="13" spans="1:18" ht="14.25" customHeight="1">
      <c r="A13" s="6" t="s">
        <v>18</v>
      </c>
      <c r="B13" s="6" t="s">
        <v>94</v>
      </c>
      <c r="C13" s="6" t="s">
        <v>95</v>
      </c>
      <c r="D13" s="6" t="s">
        <v>96</v>
      </c>
      <c r="E13" s="10">
        <v>46419</v>
      </c>
      <c r="F13" s="5">
        <f ca="1">Tracker_All[[#This Row],[تاريخ الانتهاء]]-TODAY()</f>
        <v>117</v>
      </c>
      <c r="G13" s="4">
        <f t="shared" si="0"/>
        <v>46389</v>
      </c>
      <c r="H13" s="6" t="str">
        <f t="shared" ca="1" si="1"/>
        <v>ساري</v>
      </c>
      <c r="I13" s="6" t="str">
        <f t="shared" ca="1" si="2"/>
        <v>منخفضة</v>
      </c>
      <c r="J13" s="6" t="s">
        <v>21</v>
      </c>
      <c r="K13" s="6"/>
      <c r="L13" s="7" t="s">
        <v>97</v>
      </c>
      <c r="M13" s="7" t="s">
        <v>98</v>
      </c>
      <c r="N13" s="7" t="s">
        <v>149</v>
      </c>
      <c r="O13" t="s">
        <v>99</v>
      </c>
      <c r="P13" t="s">
        <v>152</v>
      </c>
      <c r="Q13" t="s">
        <v>40</v>
      </c>
      <c r="R13" t="s">
        <v>100</v>
      </c>
    </row>
    <row r="14" spans="1:18" ht="14.25" customHeight="1">
      <c r="A14" s="6" t="s">
        <v>18</v>
      </c>
      <c r="B14" s="6" t="s">
        <v>41</v>
      </c>
      <c r="C14" s="6" t="s">
        <v>42</v>
      </c>
      <c r="D14" s="6" t="s">
        <v>101</v>
      </c>
      <c r="E14" s="10">
        <v>46391</v>
      </c>
      <c r="F14" s="5">
        <f ca="1">Tracker_All[[#This Row],[تاريخ الانتهاء]]-TODAY()</f>
        <v>89</v>
      </c>
      <c r="G14" s="4">
        <f t="shared" si="0"/>
        <v>46361</v>
      </c>
      <c r="H14" s="6" t="str">
        <f t="shared" ca="1" si="1"/>
        <v>ساري</v>
      </c>
      <c r="I14" s="6" t="str">
        <f t="shared" ca="1" si="2"/>
        <v>منخفضة</v>
      </c>
      <c r="J14" s="6" t="s">
        <v>21</v>
      </c>
      <c r="K14" s="6" t="s">
        <v>32</v>
      </c>
      <c r="L14" s="7" t="s">
        <v>44</v>
      </c>
      <c r="M14" s="7" t="s">
        <v>45</v>
      </c>
      <c r="N14" s="7" t="s">
        <v>102</v>
      </c>
      <c r="O14" t="s">
        <v>103</v>
      </c>
      <c r="P14" t="s">
        <v>104</v>
      </c>
      <c r="Q14" t="s">
        <v>40</v>
      </c>
      <c r="R14" t="s">
        <v>105</v>
      </c>
    </row>
    <row r="15" spans="1:18" ht="24.75" customHeight="1">
      <c r="A15" s="6" t="s">
        <v>18</v>
      </c>
      <c r="B15" s="6" t="s">
        <v>50</v>
      </c>
      <c r="C15" s="6" t="s">
        <v>51</v>
      </c>
      <c r="D15" s="6" t="s">
        <v>106</v>
      </c>
      <c r="E15" s="10">
        <v>46391</v>
      </c>
      <c r="F15" s="5">
        <f ca="1">Tracker_All[[#This Row],[تاريخ الانتهاء]]-TODAY()</f>
        <v>89</v>
      </c>
      <c r="G15" s="4">
        <f t="shared" si="0"/>
        <v>46361</v>
      </c>
      <c r="H15" s="6" t="str">
        <f t="shared" ca="1" si="1"/>
        <v>ساري</v>
      </c>
      <c r="I15" s="6" t="str">
        <f t="shared" ca="1" si="2"/>
        <v>منخفضة</v>
      </c>
      <c r="J15" s="6" t="s">
        <v>21</v>
      </c>
      <c r="K15" s="6" t="s">
        <v>53</v>
      </c>
      <c r="L15" s="7" t="s">
        <v>107</v>
      </c>
      <c r="M15" s="7" t="s">
        <v>55</v>
      </c>
      <c r="N15" s="7" t="s">
        <v>108</v>
      </c>
      <c r="O15" t="s">
        <v>109</v>
      </c>
      <c r="P15" t="s">
        <v>110</v>
      </c>
      <c r="Q15" t="s">
        <v>40</v>
      </c>
      <c r="R15" s="7" t="s">
        <v>111</v>
      </c>
    </row>
    <row r="16" spans="1:18" ht="14.25" customHeight="1">
      <c r="A16" s="6" t="s">
        <v>18</v>
      </c>
      <c r="B16" s="6" t="s">
        <v>112</v>
      </c>
      <c r="C16" s="6" t="s">
        <v>113</v>
      </c>
      <c r="D16" s="6" t="s">
        <v>114</v>
      </c>
      <c r="E16" s="10">
        <v>46396</v>
      </c>
      <c r="F16" s="5">
        <f ca="1">Tracker_All[[#This Row],[تاريخ الانتهاء]]-TODAY()</f>
        <v>94</v>
      </c>
      <c r="G16" s="4">
        <f t="shared" si="0"/>
        <v>46366</v>
      </c>
      <c r="H16" s="6" t="str">
        <f t="shared" ca="1" si="1"/>
        <v>ساري</v>
      </c>
      <c r="I16" s="6" t="str">
        <f t="shared" ca="1" si="2"/>
        <v>منخفضة</v>
      </c>
      <c r="J16" s="6" t="s">
        <v>21</v>
      </c>
      <c r="K16" s="6" t="s">
        <v>32</v>
      </c>
      <c r="L16" s="7" t="s">
        <v>115</v>
      </c>
      <c r="M16" s="7" t="s">
        <v>116</v>
      </c>
      <c r="N16" s="7" t="s">
        <v>117</v>
      </c>
      <c r="O16" t="s">
        <v>118</v>
      </c>
      <c r="P16" t="s">
        <v>119</v>
      </c>
      <c r="Q16" t="s">
        <v>27</v>
      </c>
      <c r="R16" s="7" t="s">
        <v>120</v>
      </c>
    </row>
    <row r="17" spans="1:18" ht="14.25" customHeight="1">
      <c r="A17" s="6" t="s">
        <v>67</v>
      </c>
      <c r="B17" s="6" t="s">
        <v>71</v>
      </c>
      <c r="C17" s="6" t="s">
        <v>84</v>
      </c>
      <c r="D17" s="6" t="s">
        <v>121</v>
      </c>
      <c r="E17" s="10">
        <v>46535</v>
      </c>
      <c r="F17" s="5">
        <f ca="1">Tracker_All[[#This Row],[تاريخ الانتهاء]]-TODAY()</f>
        <v>233</v>
      </c>
      <c r="G17" s="4">
        <f t="shared" si="0"/>
        <v>46505</v>
      </c>
      <c r="H17" s="6" t="str">
        <f t="shared" ca="1" si="1"/>
        <v>ساري</v>
      </c>
      <c r="I17" s="6" t="str">
        <f t="shared" ca="1" si="2"/>
        <v>منخفضة</v>
      </c>
      <c r="J17" s="6" t="s">
        <v>69</v>
      </c>
      <c r="K17" s="6" t="s">
        <v>122</v>
      </c>
    </row>
    <row r="18" spans="1:18" ht="14.25" customHeight="1">
      <c r="A18" s="6" t="s">
        <v>67</v>
      </c>
      <c r="B18" s="6" t="s">
        <v>71</v>
      </c>
      <c r="C18" s="6" t="s">
        <v>91</v>
      </c>
      <c r="D18" s="6" t="s">
        <v>123</v>
      </c>
      <c r="E18" s="10">
        <v>46554</v>
      </c>
      <c r="F18" s="5">
        <f ca="1">Tracker_All[[#This Row],[تاريخ الانتهاء]]-TODAY()</f>
        <v>252</v>
      </c>
      <c r="G18" s="4">
        <f t="shared" si="0"/>
        <v>46524</v>
      </c>
      <c r="H18" s="6" t="str">
        <f t="shared" ca="1" si="1"/>
        <v>ساري</v>
      </c>
      <c r="I18" s="6" t="str">
        <f t="shared" ca="1" si="2"/>
        <v>منخفضة</v>
      </c>
      <c r="J18" s="6" t="s">
        <v>69</v>
      </c>
      <c r="K18" s="6" t="s">
        <v>124</v>
      </c>
    </row>
    <row r="19" spans="1:18" ht="14.25" customHeight="1">
      <c r="A19" s="6" t="s">
        <v>18</v>
      </c>
      <c r="B19" s="6" t="s">
        <v>127</v>
      </c>
      <c r="C19" s="6" t="s">
        <v>128</v>
      </c>
      <c r="D19" s="6" t="s">
        <v>128</v>
      </c>
      <c r="E19" s="10">
        <v>46398</v>
      </c>
      <c r="F19" s="5">
        <f ca="1">E19-TODAY()</f>
        <v>96</v>
      </c>
      <c r="G19" s="4">
        <f t="shared" si="0"/>
        <v>46368</v>
      </c>
      <c r="H19" s="6" t="str">
        <f t="shared" ca="1" si="1"/>
        <v>ساري</v>
      </c>
      <c r="I19" s="6" t="str">
        <f t="shared" ca="1" si="2"/>
        <v>منخفضة</v>
      </c>
      <c r="J19" s="6" t="s">
        <v>21</v>
      </c>
      <c r="K19" s="6" t="s">
        <v>32</v>
      </c>
    </row>
    <row r="20" spans="1:18" ht="14.25" customHeight="1">
      <c r="A20" s="8" t="s">
        <v>18</v>
      </c>
      <c r="B20" s="8" t="s">
        <v>75</v>
      </c>
      <c r="C20" s="8" t="s">
        <v>76</v>
      </c>
      <c r="D20" s="8" t="s">
        <v>129</v>
      </c>
      <c r="E20" s="9">
        <v>46526</v>
      </c>
      <c r="F20" s="5">
        <f ca="1">E20-TODAY()</f>
        <v>224</v>
      </c>
      <c r="G20" s="4">
        <f t="shared" si="0"/>
        <v>46496</v>
      </c>
      <c r="H20" s="12" t="str">
        <f t="shared" ca="1" si="1"/>
        <v>ساري</v>
      </c>
      <c r="I20" s="12" t="str">
        <f t="shared" ca="1" si="2"/>
        <v>منخفضة</v>
      </c>
      <c r="J20" s="8" t="s">
        <v>21</v>
      </c>
      <c r="K20" s="8" t="s">
        <v>32</v>
      </c>
      <c r="L20" s="7" t="s">
        <v>78</v>
      </c>
      <c r="M20" s="7" t="s">
        <v>79</v>
      </c>
      <c r="N20" s="7" t="s">
        <v>130</v>
      </c>
      <c r="O20" t="s">
        <v>81</v>
      </c>
      <c r="P20" t="s">
        <v>131</v>
      </c>
      <c r="Q20" t="s">
        <v>27</v>
      </c>
      <c r="R20" s="7" t="s">
        <v>120</v>
      </c>
    </row>
    <row r="21" spans="1:18" ht="37.5">
      <c r="A21" s="3" t="s">
        <v>18</v>
      </c>
      <c r="B21" s="3" t="s">
        <v>162</v>
      </c>
      <c r="C21" s="3" t="s">
        <v>161</v>
      </c>
      <c r="D21" s="3" t="s">
        <v>163</v>
      </c>
      <c r="E21" s="4">
        <v>46599</v>
      </c>
      <c r="F21" s="5">
        <f ca="1">E21-TODAY()</f>
        <v>297</v>
      </c>
      <c r="G21" s="4">
        <f t="shared" ref="G21" si="5">IF(E21="","",E21-30)</f>
        <v>46569</v>
      </c>
      <c r="H21" s="12" t="str">
        <f t="shared" ref="H21" ca="1" si="6">IF(E21="","بدون تاريخ",IF(F21&lt;0,"منتهي",IF(F21&lt;=30,"حرج",IF(F21&lt;=60,"قريب","ساري"))))</f>
        <v>ساري</v>
      </c>
      <c r="I21" s="12" t="str">
        <f t="shared" ref="I21" ca="1" si="7">IF(H21="بدون تاريخ","مراجعة مطلوبة",IF(H21="منتهي","عالية",IF(H21="حرج","عالية",IF(H21="قريب","متوسطة","منخفضة"))))</f>
        <v>منخفضة</v>
      </c>
      <c r="J21" s="3" t="s">
        <v>21</v>
      </c>
      <c r="K21" s="3"/>
      <c r="L21" s="7" t="s">
        <v>160</v>
      </c>
      <c r="M21" s="7" t="s">
        <v>159</v>
      </c>
      <c r="N21" s="7" t="s">
        <v>158</v>
      </c>
      <c r="P21" t="s">
        <v>157</v>
      </c>
      <c r="Q21" t="s">
        <v>27</v>
      </c>
      <c r="R21" t="s">
        <v>156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A20" sqref="A20:XFD20"/>
    </sheetView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3"/>
      <c r="B1" s="14"/>
    </row>
    <row r="2" spans="1:2" ht="14.25" customHeight="1">
      <c r="A2" s="13"/>
      <c r="B2" s="15" t="s">
        <v>132</v>
      </c>
    </row>
    <row r="3" spans="1:2" ht="14.25" customHeight="1">
      <c r="A3" s="13"/>
      <c r="B3" s="14"/>
    </row>
    <row r="4" spans="1:2" ht="14.25" customHeight="1">
      <c r="A4" s="13" t="s">
        <v>133</v>
      </c>
      <c r="B4" s="14" t="s">
        <v>134</v>
      </c>
    </row>
    <row r="5" spans="1:2" ht="14.25" customHeight="1">
      <c r="A5" s="13" t="s">
        <v>135</v>
      </c>
      <c r="B5" s="14" t="s">
        <v>136</v>
      </c>
    </row>
    <row r="6" spans="1:2" ht="14.25" customHeight="1">
      <c r="A6" s="13" t="s">
        <v>137</v>
      </c>
      <c r="B6" s="14" t="s">
        <v>138</v>
      </c>
    </row>
    <row r="7" spans="1:2" ht="14.25" customHeight="1">
      <c r="A7" s="13" t="s">
        <v>139</v>
      </c>
      <c r="B7" s="14" t="s">
        <v>140</v>
      </c>
    </row>
    <row r="8" spans="1:2" ht="14.25" customHeight="1">
      <c r="A8" s="13" t="s">
        <v>141</v>
      </c>
      <c r="B8" s="14" t="s">
        <v>142</v>
      </c>
    </row>
    <row r="9" spans="1:2" ht="14.25" customHeight="1">
      <c r="A9" s="13"/>
      <c r="B9" s="14"/>
    </row>
    <row r="10" spans="1:2" ht="14.25" customHeight="1">
      <c r="A10" s="13"/>
      <c r="B10" s="16" t="s">
        <v>143</v>
      </c>
    </row>
    <row r="11" spans="1:2" ht="14.25" customHeight="1">
      <c r="A11" s="13"/>
      <c r="B11" s="14"/>
    </row>
    <row r="12" spans="1:2" ht="14.25" customHeight="1">
      <c r="A12" s="13"/>
      <c r="B12" s="16" t="s">
        <v>144</v>
      </c>
    </row>
    <row r="13" spans="1:2" ht="14.25" customHeight="1">
      <c r="A13" s="13"/>
      <c r="B13" s="14"/>
    </row>
    <row r="14" spans="1:2" ht="14.25" customHeight="1">
      <c r="A14" s="13"/>
      <c r="B14" s="16" t="s">
        <v>145</v>
      </c>
    </row>
    <row r="15" spans="1:2" ht="14.25" customHeight="1">
      <c r="A15" s="13"/>
      <c r="B15" s="14"/>
    </row>
    <row r="16" spans="1:2" ht="14.25" customHeight="1">
      <c r="A16" s="13"/>
      <c r="B16" s="16" t="s">
        <v>146</v>
      </c>
    </row>
    <row r="19" spans="1:11" ht="14.25" customHeight="1">
      <c r="A19" s="8" t="s">
        <v>67</v>
      </c>
      <c r="B19" s="8" t="s">
        <v>71</v>
      </c>
      <c r="C19" s="8" t="s">
        <v>72</v>
      </c>
      <c r="D19" s="8" t="s">
        <v>73</v>
      </c>
      <c r="E19" s="9">
        <v>46529</v>
      </c>
      <c r="F19" s="5" t="e">
        <f ca="1">Tracker_All[[#This Row],[تاريخ الانتهاء]]-TODAY()</f>
        <v>#VALUE!</v>
      </c>
      <c r="G19" s="4">
        <f>IF(E19="","",E19-30)</f>
        <v>46499</v>
      </c>
      <c r="H19" s="6" t="e">
        <f ca="1">IF(E19="","بدون تاريخ",IF(F19&lt;0,"منتهي",IF(F19&lt;=30,"حرج",IF(F19&lt;=60,"قريب","ساري"))))</f>
        <v>#VALUE!</v>
      </c>
      <c r="I19" s="6" t="e">
        <f ca="1">IF(H19="بدون تاريخ","مراجعة مطلوبة",IF(H19="منتهي","عالية",IF(H19="حرج","عالية",IF(H19="قريب","متوسطة","منخفضة"))))</f>
        <v>#VALUE!</v>
      </c>
      <c r="J19" s="8" t="s">
        <v>69</v>
      </c>
      <c r="K19" s="8" t="s">
        <v>74</v>
      </c>
    </row>
    <row r="20" spans="1:11" ht="14.25" customHeight="1">
      <c r="A20" s="11" t="s">
        <v>67</v>
      </c>
      <c r="B20" s="11" t="s">
        <v>68</v>
      </c>
      <c r="C20" s="11" t="s">
        <v>72</v>
      </c>
      <c r="D20" s="11" t="s">
        <v>126</v>
      </c>
      <c r="E20" s="10">
        <v>46215</v>
      </c>
      <c r="F20" s="5" t="e">
        <f ca="1">Tracker_All[[#This Row],[تاريخ الانتهاء]]-TODAY()</f>
        <v>#VALUE!</v>
      </c>
      <c r="G20" s="4">
        <f>IF(E20="","",E20-30)</f>
        <v>46185</v>
      </c>
      <c r="H20" s="6" t="e">
        <f ca="1">IF(E20="","بدون تاريخ",IF(F20&lt;0,"منتهي",IF(F20&lt;=30,"حرج",IF(F20&lt;=60,"قريب","ساري"))))</f>
        <v>#VALUE!</v>
      </c>
      <c r="I20" s="6" t="e">
        <f ca="1">IF(H20="بدون تاريخ","مراجعة مطلوبة",IF(H20="منتهي","عالية",IF(H20="حرج","عالية",IF(H20="قريب","متوسطة","منخفضة"))))</f>
        <v>#VALUE!</v>
      </c>
      <c r="J20" s="11" t="s">
        <v>69</v>
      </c>
      <c r="K20" s="11" t="s">
        <v>70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2026-10-07T08:04:42Z</dcterms:modified>
  <dc:language>en-US</dc:language>
</cp:coreProperties>
</file>