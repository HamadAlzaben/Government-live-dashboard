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_All" sheetId="1" state="visible" r:id="rId3"/>
    <sheet name="README_PowerBI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<sst xmlns="http://schemas.openxmlformats.org/spreadsheetml/2006/main" count="293" uniqueCount="176">
  <si>
    <t xml:space="preserve">المصدر</t>
  </si>
  <si>
    <t xml:space="preserve">النوع</t>
  </si>
  <si>
    <t xml:space="preserve">الجهة</t>
  </si>
  <si>
    <t xml:space="preserve">البند</t>
  </si>
  <si>
    <t xml:space="preserve">تاريخ الانتهاء</t>
  </si>
  <si>
    <t xml:space="preserve">الأيام المتبقية</t>
  </si>
  <si>
    <t xml:space="preserve">بدء الإجراء (30 يوم قبل)</t>
  </si>
  <si>
    <t xml:space="preserve">الحالة</t>
  </si>
  <si>
    <t xml:space="preserve">الأولوية</t>
  </si>
  <si>
    <t xml:space="preserve">الملف المصدر</t>
  </si>
  <si>
    <t xml:space="preserve">ملاحظات</t>
  </si>
  <si>
    <t xml:space="preserve">اسم الشهادة</t>
  </si>
  <si>
    <t xml:space="preserve">الجهة المُصدِرة</t>
  </si>
  <si>
    <t xml:space="preserve">رقم الشهادة</t>
  </si>
  <si>
    <t xml:space="preserve">تاريخ الإصدار</t>
  </si>
  <si>
    <t xml:space="preserve">ملف الشهادة</t>
  </si>
  <si>
    <t xml:space="preserve">المجموعة</t>
  </si>
  <si>
    <t xml:space="preserve">تفاصيل</t>
  </si>
  <si>
    <t xml:space="preserve">جهة حكومية</t>
  </si>
  <si>
    <t xml:space="preserve">ZATCA Certificate</t>
  </si>
  <si>
    <t xml:space="preserve">ZATCA</t>
  </si>
  <si>
    <t xml:space="preserve">Main_Register.xlsx</t>
  </si>
  <si>
    <r>
      <rPr>
        <sz val="11"/>
        <color theme="1"/>
        <rFont val="FreeSans"/>
        <family val="2"/>
      </rPr>
      <t xml:space="preserve">شهادة الزكاة – </t>
    </r>
    <r>
      <rPr>
        <sz val="11"/>
        <color theme="1"/>
        <rFont val="Calibri"/>
        <family val="0"/>
        <charset val="1"/>
      </rPr>
      <t xml:space="preserve">ZATCA</t>
    </r>
  </si>
  <si>
    <t xml:space="preserve">هيئة الزكاة والضريبة والجمارك</t>
  </si>
  <si>
    <r>
      <rPr>
        <sz val="11"/>
        <color theme="1"/>
        <rFont val="FreeSans"/>
        <family val="2"/>
      </rPr>
      <t xml:space="preserve">رقم الشهادة</t>
    </r>
    <r>
      <rPr>
        <sz val="11"/>
        <color theme="1"/>
        <rFont val="Calibri"/>
        <family val="0"/>
        <charset val="1"/>
      </rPr>
      <t xml:space="preserve">: 1027230956</t>
    </r>
  </si>
  <si>
    <r>
      <rPr>
        <sz val="11"/>
        <color theme="1"/>
        <rFont val="Calibri"/>
        <family val="0"/>
        <charset val="1"/>
      </rPr>
      <t xml:space="preserve">05/11/1447</t>
    </r>
    <r>
      <rPr>
        <sz val="11"/>
        <color theme="1"/>
        <rFont val="FreeSans"/>
        <family val="2"/>
      </rPr>
      <t xml:space="preserve">هـ</t>
    </r>
  </si>
  <si>
    <t xml:space="preserve">Zakat-Cert-2027.pdf</t>
  </si>
  <si>
    <t xml:space="preserve">CR32</t>
  </si>
  <si>
    <t xml:space="preserve">CR: 1010813032</t>
  </si>
  <si>
    <t xml:space="preserve">Nationalization Certificate</t>
  </si>
  <si>
    <t xml:space="preserve">Qiwa</t>
  </si>
  <si>
    <t xml:space="preserve">Nationalization Cert 7029908865 – CR32</t>
  </si>
  <si>
    <t xml:space="preserve">Supporting certificate added.</t>
  </si>
  <si>
    <r>
      <rPr>
        <sz val="11"/>
        <color theme="1"/>
        <rFont val="FreeSans"/>
        <family val="2"/>
      </rPr>
      <t xml:space="preserve">شهادة التوطين – </t>
    </r>
    <r>
      <rPr>
        <sz val="11"/>
        <color theme="1"/>
        <rFont val="Calibri"/>
        <family val="0"/>
        <charset val="1"/>
      </rPr>
      <t xml:space="preserve">Qiwa</t>
    </r>
  </si>
  <si>
    <r>
      <rPr>
        <sz val="11"/>
        <color theme="1"/>
        <rFont val="FreeSans"/>
        <family val="2"/>
      </rPr>
      <t xml:space="preserve">وزارة الموارد البشرية </t>
    </r>
    <r>
      <rPr>
        <sz val="11"/>
        <color theme="1"/>
        <rFont val="Calibri"/>
        <family val="0"/>
        <charset val="1"/>
      </rPr>
      <t xml:space="preserve">· </t>
    </r>
    <r>
      <rPr>
        <sz val="11"/>
        <color theme="1"/>
        <rFont val="FreeSans"/>
        <family val="2"/>
      </rPr>
      <t xml:space="preserve">قوى</t>
    </r>
  </si>
  <si>
    <r>
      <rPr>
        <sz val="11"/>
        <color theme="1"/>
        <rFont val="FreeSans"/>
        <family val="2"/>
      </rPr>
      <t xml:space="preserve">رقم الشهادة</t>
    </r>
    <r>
      <rPr>
        <sz val="11"/>
        <color theme="1"/>
        <rFont val="Calibri"/>
        <family val="0"/>
        <charset val="1"/>
      </rPr>
      <t xml:space="preserve">: 170949-65665987</t>
    </r>
  </si>
  <si>
    <t xml:space="preserve">07/05/2026</t>
  </si>
  <si>
    <t xml:space="preserve">Nationalization-CR32-7029908865.pdf</t>
  </si>
  <si>
    <r>
      <rPr>
        <sz val="11"/>
        <color theme="1"/>
        <rFont val="FreeSans"/>
        <family val="2"/>
      </rPr>
      <t xml:space="preserve">الرقم الوطني</t>
    </r>
    <r>
      <rPr>
        <sz val="11"/>
        <color theme="1"/>
        <rFont val="Calibri"/>
        <family val="0"/>
        <charset val="1"/>
      </rPr>
      <t xml:space="preserve">: 7029908865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family val="0"/>
        <charset val="1"/>
      </rPr>
      <t xml:space="preserve">55%</t>
    </r>
  </si>
  <si>
    <t xml:space="preserve">Nationalization Cert 7033766317 – CR42</t>
  </si>
  <si>
    <r>
      <rPr>
        <sz val="11"/>
        <color theme="1"/>
        <rFont val="FreeSans"/>
        <family val="2"/>
      </rPr>
      <t xml:space="preserve">رقم الشهادة</t>
    </r>
    <r>
      <rPr>
        <sz val="11"/>
        <color theme="1"/>
        <rFont val="Calibri"/>
        <family val="0"/>
        <charset val="1"/>
      </rPr>
      <t xml:space="preserve">: 256343-19899920</t>
    </r>
  </si>
  <si>
    <t xml:space="preserve">18/12/2025</t>
  </si>
  <si>
    <t xml:space="preserve">Nationalization-CR42-7033766317.pdf</t>
  </si>
  <si>
    <t xml:space="preserve">CR42</t>
  </si>
  <si>
    <r>
      <rPr>
        <sz val="11"/>
        <color theme="1"/>
        <rFont val="FreeSans"/>
        <family val="2"/>
      </rPr>
      <t xml:space="preserve">الرقم الوطني</t>
    </r>
    <r>
      <rPr>
        <sz val="11"/>
        <color theme="1"/>
        <rFont val="Calibri"/>
        <family val="0"/>
        <charset val="1"/>
      </rPr>
      <t xml:space="preserve">: 7033766317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family val="0"/>
        <charset val="1"/>
      </rPr>
      <t xml:space="preserve">55%</t>
    </r>
  </si>
  <si>
    <t xml:space="preserve">Chamber Membership Certificate</t>
  </si>
  <si>
    <t xml:space="preserve">Riyadh Chamber</t>
  </si>
  <si>
    <t xml:space="preserve">COC Riyadh Chamber – CR32</t>
  </si>
  <si>
    <t xml:space="preserve">شهادة عضوية غرفة الرياض</t>
  </si>
  <si>
    <t xml:space="preserve">الغرفة التجارية الصناعية بالرياض</t>
  </si>
  <si>
    <r>
      <rPr>
        <sz val="11"/>
        <color theme="1"/>
        <rFont val="FreeSans"/>
        <family val="2"/>
      </rPr>
      <t xml:space="preserve">رقم العضوية</t>
    </r>
    <r>
      <rPr>
        <sz val="11"/>
        <color theme="1"/>
        <rFont val="Calibri"/>
        <family val="0"/>
        <charset val="1"/>
      </rPr>
      <t xml:space="preserve">: 742640</t>
    </r>
  </si>
  <si>
    <t xml:space="preserve">18/07/2022</t>
  </si>
  <si>
    <t xml:space="preserve">Meric -CoC Membership Certificate EXP May 25 2026.pdf</t>
  </si>
  <si>
    <r>
      <rPr>
        <sz val="11"/>
        <color theme="1"/>
        <rFont val="Calibri"/>
        <family val="0"/>
        <charset val="1"/>
      </rPr>
      <t xml:space="preserve">CR: 1010813032 · </t>
    </r>
    <r>
      <rPr>
        <sz val="11"/>
        <color theme="1"/>
        <rFont val="FreeSans"/>
        <family val="2"/>
      </rPr>
      <t xml:space="preserve">درجة ثانية</t>
    </r>
  </si>
  <si>
    <t xml:space="preserve">Commercial Registration Certificate</t>
  </si>
  <si>
    <t xml:space="preserve">Ministry of Commerce</t>
  </si>
  <si>
    <t xml:space="preserve">CR 32</t>
  </si>
  <si>
    <t xml:space="preserve">No expiry visible on face.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</si>
  <si>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family val="0"/>
        <charset val="1"/>
      </rPr>
      <t xml:space="preserve">CR32</t>
    </r>
  </si>
  <si>
    <t xml:space="preserve">وزارة التجارة</t>
  </si>
  <si>
    <r>
      <rPr>
        <sz val="11"/>
        <color theme="1"/>
        <rFont val="FreeSans"/>
        <family val="2"/>
      </rPr>
      <t xml:space="preserve">رقم السجل التجاري</t>
    </r>
    <r>
      <rPr>
        <sz val="11"/>
        <color theme="1"/>
        <rFont val="Calibri"/>
        <family val="0"/>
        <charset val="1"/>
      </rPr>
      <t xml:space="preserve">: 1010813032</t>
    </r>
  </si>
  <si>
    <t xml:space="preserve">07/07/2022</t>
  </si>
  <si>
    <t xml:space="preserve">CR32-Main-1010813032.pdf</t>
  </si>
  <si>
    <r>
      <rPr>
        <sz val="11"/>
        <color theme="1"/>
        <rFont val="FreeSans"/>
        <family val="2"/>
      </rPr>
      <t xml:space="preserve">الرقم الوطني</t>
    </r>
    <r>
      <rPr>
        <sz val="11"/>
        <color theme="1"/>
        <rFont val="Calibri"/>
        <family val="0"/>
        <charset val="1"/>
      </rPr>
      <t xml:space="preserve">: 7029908865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family val="0"/>
        <charset val="1"/>
      </rPr>
      <t xml:space="preserve">· </t>
    </r>
    <r>
      <rPr>
        <sz val="11"/>
        <color theme="1"/>
        <rFont val="FreeSans"/>
        <family val="2"/>
      </rPr>
      <t xml:space="preserve">نشطة</t>
    </r>
  </si>
  <si>
    <t xml:space="preserve">TVTC License</t>
  </si>
  <si>
    <t xml:space="preserve">TVTC</t>
  </si>
  <si>
    <r>
      <rPr>
        <sz val="11"/>
        <color theme="1"/>
        <rFont val="FreeSans"/>
        <family val="2"/>
      </rPr>
      <t xml:space="preserve">ترخيص التدريب – </t>
    </r>
    <r>
      <rPr>
        <sz val="11"/>
        <color theme="1"/>
        <rFont val="Calibri"/>
        <family val="0"/>
        <charset val="1"/>
      </rPr>
      <t xml:space="preserve">TVTC</t>
    </r>
  </si>
  <si>
    <t xml:space="preserve">المؤسسة العامة للتدريب التقني والمهني</t>
  </si>
  <si>
    <r>
      <rPr>
        <sz val="11"/>
        <color theme="1"/>
        <rFont val="FreeSans"/>
        <family val="2"/>
      </rPr>
      <t xml:space="preserve">رقم الإصدار</t>
    </r>
    <r>
      <rPr>
        <sz val="11"/>
        <color theme="1"/>
        <rFont val="Calibri"/>
        <family val="0"/>
        <charset val="1"/>
      </rPr>
      <t xml:space="preserve">: 1181861142</t>
    </r>
  </si>
  <si>
    <t xml:space="preserve">TVTC-License-2028.pdf</t>
  </si>
  <si>
    <t xml:space="preserve">مركز ميرك للتدريب – الرياض</t>
  </si>
  <si>
    <t xml:space="preserve">مقيم</t>
  </si>
  <si>
    <t xml:space="preserve">تأشيرة</t>
  </si>
  <si>
    <t xml:space="preserve">كريم اسامه محمد سالم</t>
  </si>
  <si>
    <t xml:space="preserve">تأشيرة كريم اسامه محمد سالم</t>
  </si>
  <si>
    <t xml:space="preserve">تفاصيل - مقيم.xlsx</t>
  </si>
  <si>
    <t xml:space="preserve">حالة التأشيرة: غبر مستعمل - السفر قبل</t>
  </si>
  <si>
    <t xml:space="preserve">إقامة</t>
  </si>
  <si>
    <t xml:space="preserve">مريم ايهاب محمود احمد همام</t>
  </si>
  <si>
    <t xml:space="preserve">إقامة مريم ايهاب محمود احمد همام</t>
  </si>
  <si>
    <t xml:space="preserve">رقم الإقامة: 2583134610</t>
  </si>
  <si>
    <t xml:space="preserve">SME Certificate</t>
  </si>
  <si>
    <t xml:space="preserve">SME</t>
  </si>
  <si>
    <t xml:space="preserve">SME – CR42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</si>
  <si>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family val="0"/>
        <charset val="1"/>
      </rPr>
      <t xml:space="preserve">SME</t>
    </r>
  </si>
  <si>
    <t xml:space="preserve">الهيئة العامة للمنشآت الصغيرة والمتوسطة</t>
  </si>
  <si>
    <r>
      <rPr>
        <sz val="11"/>
        <color theme="1"/>
        <rFont val="FreeSans"/>
        <family val="2"/>
      </rPr>
      <t xml:space="preserve">رقم الشهادة</t>
    </r>
    <r>
      <rPr>
        <sz val="11"/>
        <color theme="1"/>
        <rFont val="Calibri"/>
        <family val="0"/>
        <charset val="1"/>
      </rPr>
      <t xml:space="preserve">: 26217343650</t>
    </r>
  </si>
  <si>
    <t xml:space="preserve">19/05/2026</t>
  </si>
  <si>
    <t xml:space="preserve">SME - CR42.pdf</t>
  </si>
  <si>
    <r>
      <rPr>
        <sz val="11"/>
        <color theme="1"/>
        <rFont val="FreeSans"/>
        <family val="2"/>
      </rPr>
      <t xml:space="preserve">الرقم الوطني</t>
    </r>
    <r>
      <rPr>
        <sz val="11"/>
        <color theme="1"/>
        <rFont val="Calibri"/>
        <family val="0"/>
        <charset val="1"/>
      </rPr>
      <t xml:space="preserve">: 7033766317</t>
    </r>
  </si>
  <si>
    <t xml:space="preserve">LINA AL ASHKAR</t>
  </si>
  <si>
    <t xml:space="preserve">تأشيرة LINA AL ASHKAR</t>
  </si>
  <si>
    <t xml:space="preserve">ساري سعيد تعمري القيسي</t>
  </si>
  <si>
    <t xml:space="preserve">تأشيرة ساري سعيد تعمري القيسي</t>
  </si>
  <si>
    <t xml:space="preserve">حالة التأشيرة:  مستعمل</t>
  </si>
  <si>
    <t xml:space="preserve">GOSI Certificate</t>
  </si>
  <si>
    <t xml:space="preserve">GOSI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</si>
  <si>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family val="0"/>
        <charset val="1"/>
      </rPr>
      <t xml:space="preserve">GOSI – </t>
    </r>
    <r>
      <rPr>
        <sz val="11"/>
        <color theme="1"/>
        <rFont val="FreeSans"/>
        <family val="2"/>
      </rPr>
      <t xml:space="preserve">التأمينات</t>
    </r>
  </si>
  <si>
    <t xml:space="preserve">المؤسسة العامة للتأمينات الاجتماعية</t>
  </si>
  <si>
    <r>
      <rPr>
        <sz val="11"/>
        <color theme="1"/>
        <rFont val="FreeSans"/>
        <family val="2"/>
      </rPr>
      <t xml:space="preserve">رمز الشهادة</t>
    </r>
    <r>
      <rPr>
        <sz val="11"/>
        <color theme="1"/>
        <rFont val="Calibri"/>
        <family val="0"/>
        <charset val="1"/>
      </rPr>
      <t xml:space="preserve">: 112057702</t>
    </r>
  </si>
  <si>
    <t xml:space="preserve">11/04/2026</t>
  </si>
  <si>
    <t xml:space="preserve">GOSI.pdf</t>
  </si>
  <si>
    <r>
      <rPr>
        <sz val="11"/>
        <color theme="1"/>
        <rFont val="FreeSans"/>
        <family val="2"/>
      </rPr>
      <t xml:space="preserve">رقم الاشتراك</t>
    </r>
    <r>
      <rPr>
        <sz val="11"/>
        <color theme="1"/>
        <rFont val="Calibri"/>
        <family val="0"/>
        <charset val="1"/>
      </rPr>
      <t xml:space="preserve">: 638909642 · 10 </t>
    </r>
    <r>
      <rPr>
        <sz val="11"/>
        <color theme="1"/>
        <rFont val="FreeSans"/>
        <family val="2"/>
      </rPr>
      <t xml:space="preserve">مشتركين</t>
    </r>
  </si>
  <si>
    <t xml:space="preserve">MOHAMMED NAYAL</t>
  </si>
  <si>
    <t xml:space="preserve">تأشيرة MOHAMMED NAYAL</t>
  </si>
  <si>
    <t xml:space="preserve">حالة التأشيرة: مستعمل</t>
  </si>
  <si>
    <t xml:space="preserve">National Address Record</t>
  </si>
  <si>
    <t xml:space="preserve">SPL</t>
  </si>
  <si>
    <t xml:space="preserve">National address 42</t>
  </si>
  <si>
    <t xml:space="preserve">العنوان الوطني</t>
  </si>
  <si>
    <r>
      <rPr>
        <sz val="11"/>
        <color theme="1"/>
        <rFont val="FreeSans"/>
        <family val="2"/>
      </rPr>
      <t xml:space="preserve">البريد السعودي </t>
    </r>
    <r>
      <rPr>
        <sz val="11"/>
        <color theme="1"/>
        <rFont val="Calibri"/>
        <family val="0"/>
        <charset val="1"/>
      </rPr>
      <t xml:space="preserve">SPL</t>
    </r>
  </si>
  <si>
    <r>
      <rPr>
        <sz val="11"/>
        <color theme="1"/>
        <rFont val="FreeSans"/>
        <family val="2"/>
      </rPr>
      <t xml:space="preserve">رقم الإثبات</t>
    </r>
    <r>
      <rPr>
        <sz val="11"/>
        <color theme="1"/>
        <rFont val="Calibri"/>
        <family val="0"/>
        <charset val="1"/>
      </rPr>
      <t xml:space="preserve">: 1080130933</t>
    </r>
  </si>
  <si>
    <t xml:space="preserve">3/2/2026</t>
  </si>
  <si>
    <t xml:space="preserve">Meirc National Address updated Feb 2026.pdf</t>
  </si>
  <si>
    <r>
      <rPr>
        <sz val="11"/>
        <color theme="1"/>
        <rFont val="Calibri"/>
        <family val="0"/>
        <charset val="1"/>
      </rPr>
      <t xml:space="preserve">RUQA7523 – </t>
    </r>
    <r>
      <rPr>
        <sz val="11"/>
        <color theme="1"/>
        <rFont val="FreeSans"/>
        <family val="2"/>
      </rPr>
      <t xml:space="preserve">سعيد بن زيد، حي قرطبة، الرياض</t>
    </r>
  </si>
  <si>
    <t xml:space="preserve">إقامة ساري سعيد تعمري القيسي</t>
  </si>
  <si>
    <t xml:space="preserve">رقم الإقامة: 2555700976</t>
  </si>
  <si>
    <t xml:space="preserve">COC Riyadh Chamber – CR42</t>
  </si>
  <si>
    <r>
      <rPr>
        <sz val="11"/>
        <color theme="1"/>
        <rFont val="FreeSans"/>
        <family val="2"/>
      </rPr>
      <t xml:space="preserve">رقم العضوية</t>
    </r>
    <r>
      <rPr>
        <sz val="11"/>
        <color theme="1"/>
        <rFont val="Calibri"/>
        <family val="0"/>
        <charset val="1"/>
      </rPr>
      <t xml:space="preserve">: 836599</t>
    </r>
  </si>
  <si>
    <t xml:space="preserve">16/07/2023</t>
  </si>
  <si>
    <t xml:space="preserve">CoC 42 EXP Jan 6 2027.pdf</t>
  </si>
  <si>
    <r>
      <rPr>
        <sz val="11"/>
        <color theme="1"/>
        <rFont val="Calibri"/>
        <family val="0"/>
        <charset val="1"/>
      </rPr>
      <t xml:space="preserve">CR: 1010860142 · </t>
    </r>
    <r>
      <rPr>
        <sz val="11"/>
        <color theme="1"/>
        <rFont val="FreeSans"/>
        <family val="2"/>
      </rPr>
      <t xml:space="preserve">درجة ثانية</t>
    </r>
  </si>
  <si>
    <t xml:space="preserve">CR 42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</si>
  <si>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family val="0"/>
        <charset val="1"/>
      </rPr>
      <t xml:space="preserve">CR42</t>
    </r>
  </si>
  <si>
    <r>
      <rPr>
        <sz val="11"/>
        <color theme="1"/>
        <rFont val="FreeSans"/>
        <family val="2"/>
      </rPr>
      <t xml:space="preserve">رقم السجل التجاري</t>
    </r>
    <r>
      <rPr>
        <sz val="11"/>
        <color theme="1"/>
        <rFont val="Calibri"/>
        <family val="0"/>
        <charset val="1"/>
      </rPr>
      <t xml:space="preserve">: 1010860142</t>
    </r>
  </si>
  <si>
    <t xml:space="preserve">08/02/2023</t>
  </si>
  <si>
    <t xml:space="preserve">CR42-Center-1010860142.pdf</t>
  </si>
  <si>
    <r>
      <rPr>
        <sz val="11"/>
        <color theme="1"/>
        <rFont val="FreeSans"/>
        <family val="2"/>
      </rPr>
      <t xml:space="preserve">الرقم الوطني</t>
    </r>
    <r>
      <rPr>
        <sz val="11"/>
        <color theme="1"/>
        <rFont val="Calibri"/>
        <family val="0"/>
        <charset val="1"/>
      </rPr>
      <t xml:space="preserve">: 7033766317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family val="0"/>
        <charset val="1"/>
      </rPr>
      <t xml:space="preserve">· </t>
    </r>
    <r>
      <rPr>
        <sz val="11"/>
        <color theme="1"/>
        <rFont val="FreeSans"/>
        <family val="2"/>
      </rPr>
      <t xml:space="preserve">نشطة</t>
    </r>
  </si>
  <si>
    <t xml:space="preserve">Investment License</t>
  </si>
  <si>
    <t xml:space="preserve">Ministry of Investment</t>
  </si>
  <si>
    <t xml:space="preserve">Services Investment License</t>
  </si>
  <si>
    <r>
      <rPr>
        <sz val="11"/>
        <color theme="1"/>
        <rFont val="FreeSans"/>
        <family val="2"/>
      </rPr>
      <t xml:space="preserve">ترخيص الاستثمار – </t>
    </r>
    <r>
      <rPr>
        <sz val="11"/>
        <color theme="1"/>
        <rFont val="Calibri"/>
        <family val="0"/>
        <charset val="1"/>
      </rPr>
      <t xml:space="preserve">MISA</t>
    </r>
  </si>
  <si>
    <t xml:space="preserve">وزارة الاستثمار</t>
  </si>
  <si>
    <r>
      <rPr>
        <sz val="11"/>
        <color theme="1"/>
        <rFont val="FreeSans"/>
        <family val="2"/>
      </rPr>
      <t xml:space="preserve">رقم الترخيص</t>
    </r>
    <r>
      <rPr>
        <sz val="11"/>
        <color theme="1"/>
        <rFont val="Calibri"/>
        <family val="0"/>
        <charset val="1"/>
      </rPr>
      <t xml:space="preserve">: 102164308134617</t>
    </r>
  </si>
  <si>
    <t xml:space="preserve">13/03/2022</t>
  </si>
  <si>
    <t xml:space="preserve">MISA (New) - 2027.pdf</t>
  </si>
  <si>
    <r>
      <rPr>
        <sz val="11"/>
        <color theme="1"/>
        <rFont val="FreeSans"/>
        <family val="2"/>
      </rPr>
      <t xml:space="preserve">الرقم الوطني</t>
    </r>
    <r>
      <rPr>
        <sz val="11"/>
        <color theme="1"/>
        <rFont val="Calibri"/>
        <family val="0"/>
        <charset val="1"/>
      </rPr>
      <t xml:space="preserve">: 7029908865</t>
    </r>
  </si>
  <si>
    <t xml:space="preserve">إقامة كريم اسامه محمد سالم</t>
  </si>
  <si>
    <t xml:space="preserve">رقم الإقامة: 2570814836</t>
  </si>
  <si>
    <t xml:space="preserve">إقامة LINA AL ASHKAR</t>
  </si>
  <si>
    <t xml:space="preserve">رقم الإقامة: 2598378632</t>
  </si>
  <si>
    <t xml:space="preserve">إقامة MOHAMMED NAYAL</t>
  </si>
  <si>
    <t xml:space="preserve">رقم الإقامة: 2572607188</t>
  </si>
  <si>
    <t xml:space="preserve">National address 32</t>
  </si>
  <si>
    <t xml:space="preserve">VAT Certificate</t>
  </si>
  <si>
    <t xml:space="preserve">ZATCA / VAT</t>
  </si>
  <si>
    <t xml:space="preserve">VAT</t>
  </si>
  <si>
    <t xml:space="preserve">Uploaded doc is Tax Residency Cert.</t>
  </si>
  <si>
    <t xml:space="preserve">تأشيرة مريم ايهاب محمود احمد همام</t>
  </si>
  <si>
    <t xml:space="preserve">MOSI Certificate</t>
  </si>
  <si>
    <t xml:space="preserve">MOSI</t>
  </si>
  <si>
    <t xml:space="preserve">SME – CR32</t>
  </si>
  <si>
    <r>
      <rPr>
        <sz val="11"/>
        <color theme="1"/>
        <rFont val="FreeSans"/>
        <family val="2"/>
      </rPr>
      <t xml:space="preserve">رقم الشهادة</t>
    </r>
    <r>
      <rPr>
        <sz val="11"/>
        <color theme="1"/>
        <rFont val="Calibri"/>
        <family val="0"/>
        <charset val="1"/>
      </rPr>
      <t xml:space="preserve">: 26265343654</t>
    </r>
  </si>
  <si>
    <t xml:space="preserve">SME - CR32.pdf</t>
  </si>
  <si>
    <t xml:space="preserve">Tax Residency Certificate</t>
  </si>
  <si>
    <t xml:space="preserve">Tax Residency – CR32</t>
  </si>
  <si>
    <t xml:space="preserve">شهادة الإقامة الضريبية</t>
  </si>
  <si>
    <r>
      <rPr>
        <sz val="11"/>
        <color theme="1"/>
        <rFont val="FreeSans"/>
        <family val="2"/>
      </rPr>
      <t xml:space="preserve">رقم الشهادة</t>
    </r>
    <r>
      <rPr>
        <sz val="11"/>
        <color theme="1"/>
        <rFont val="Calibri"/>
        <family val="0"/>
        <charset val="1"/>
      </rPr>
      <t xml:space="preserve">: 100261168150256</t>
    </r>
  </si>
  <si>
    <t xml:space="preserve">07/04/2026</t>
  </si>
  <si>
    <t xml:space="preserve">Tax-Residency-ZATCA.pdf</t>
  </si>
  <si>
    <r>
      <rPr>
        <sz val="11"/>
        <color theme="1"/>
        <rFont val="Calibri"/>
        <family val="0"/>
        <charset val="1"/>
      </rPr>
      <t xml:space="preserve">CR: 1010813032 · TIN: 3116554691 · </t>
    </r>
    <r>
      <rPr>
        <sz val="11"/>
        <color theme="1"/>
        <rFont val="FreeSans"/>
        <family val="2"/>
      </rPr>
      <t xml:space="preserve">صالح لعام </t>
    </r>
    <r>
      <rPr>
        <sz val="11"/>
        <color theme="1"/>
        <rFont val="Calibri"/>
        <family val="0"/>
        <charset val="1"/>
      </rPr>
      <t xml:space="preserve">2026</t>
    </r>
  </si>
  <si>
    <t xml:space="preserve">دليل استيراد Power BI</t>
  </si>
  <si>
    <t xml:space="preserve">١</t>
  </si>
  <si>
    <t xml:space="preserve">افتح Power BI Desktop → Home → Get Data → Excel Workbook</t>
  </si>
  <si>
    <t xml:space="preserve">٢</t>
  </si>
  <si>
    <t xml:space="preserve">اختر هذا الملف، ثم حدد ورقة Tracker_All فقط → Load</t>
  </si>
  <si>
    <t xml:space="preserve">٣</t>
  </si>
  <si>
    <t xml:space="preserve">Transform Data: تأكد أن عمود [تاريخ الانتهاء] نوعه Date</t>
  </si>
  <si>
    <t xml:space="preserve">٤</t>
  </si>
  <si>
    <t xml:space="preserve">تأكد أن [الأيام المتبقية] نوعه Whole Number</t>
  </si>
  <si>
    <t xml:space="preserve">٥</t>
  </si>
  <si>
    <t xml:space="preserve">أغلق Power Query Editor → Apply</t>
  </si>
  <si>
    <t xml:space="preserve">المقاييس – انسخها من ملف DAX_Measures.txt</t>
  </si>
  <si>
    <t xml:space="preserve">تصميم اللوحة – راجع ملف PowerBI_Design_Guide.pdf</t>
  </si>
  <si>
    <t xml:space="preserve">تحديث البيانات: كلما عدّلت هذا الملف، اضغط Refresh في Power BI</t>
  </si>
  <si>
    <t xml:space="preserve">مسار الملف: لا تغير اسم الملف أو مساره بعد ربطه بـ Power BI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</si>
</sst>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1"/>
      <color theme="1"/>
      <name val="FreeSans"/>
      <family val="2"/>
    </font>
    <font>
      <b val="true"/>
      <sz val="11"/>
      <color rgb="FF185FA5"/>
      <name val="Arial"/>
      <family val="2"/>
      <charset val="1"/>
    </font>
    <font>
      <sz val="10"/>
      <color rgb="FF1A1A18"/>
      <name val="Arial"/>
      <family val="2"/>
      <charset val="1"/>
    </font>
    <font>
      <b val="true"/>
      <sz val="14"/>
      <color rgb="FF1A1A18"/>
      <name val="Arial"/>
      <family val="2"/>
      <charset val="1"/>
    </font>
    <font>
      <b val="true"/>
      <sz val="10"/>
      <color rgb="FF185FA5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A1A18"/>
        <bgColor rgb="FF003300"/>
      </patternFill>
    </fill>
    <fill>
      <patternFill patternType="solid">
        <fgColor rgb="FFFCEBEB"/>
        <bgColor rgb="FFF1EFE8"/>
      </patternFill>
    </fill>
    <fill>
      <patternFill patternType="solid">
        <fgColor rgb="FFFFF3DC"/>
        <bgColor rgb="FFFCEBEB"/>
      </patternFill>
    </fill>
    <fill>
      <patternFill patternType="solid">
        <fgColor rgb="FFF1EFE8"/>
        <bgColor rgb="FFFCEBEB"/>
      </patternFill>
    </fill>
    <fill>
      <patternFill patternType="solid">
        <fgColor theme="4" tint="0.7999"/>
        <bgColor rgb="FFE0DD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A1A18"/>
          <bgColor rgb="FF000000"/>
        </patternFill>
      </fill>
    </dxf>
    <dxf>
      <fill>
        <patternFill patternType="solid">
          <fgColor rgb="FFF1EFE8"/>
          <bgColor rgb="FF000000"/>
        </patternFill>
      </fill>
    </dxf>
    <dxf>
      <fill>
        <patternFill patternType="solid">
          <fgColor rgb="FFFCEBEB"/>
          <bgColor rgb="FF000000"/>
        </patternFill>
      </fill>
    </dxf>
    <dxf>
      <fill>
        <patternFill patternType="solid">
          <fgColor rgb="FFFFF3D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C"/>
      <rgbColor rgb="FFDCE6F2"/>
      <rgbColor rgb="FF660066"/>
      <rgbColor rgb="FFFF8080"/>
      <rgbColor rgb="FF185FA5"/>
      <rgbColor rgb="FFE0DD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racker_All" displayName="Tracker_All" ref="A1:K25" headerRowCount="1" totalsRowCount="0" totalsRowShown="0">
  <tableColumns count="11">
    <tableColumn id="1" name="المصدر"/>
    <tableColumn id="2" name="النوع"/>
    <tableColumn id="3" name="الجهة"/>
    <tableColumn id="4" name="البند"/>
    <tableColumn id="5" name="تاريخ الانتهاء"/>
    <tableColumn id="6" name="الأيام المتبقية"/>
    <tableColumn id="7" name="بدء الإجراء (30 يوم قبل)"/>
    <tableColumn id="8" name="الحالة"/>
    <tableColumn id="9" name="الأولوية"/>
    <tableColumn id="10" name="الملف المصدر"/>
    <tableColumn id="11" name="ملاحظات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9"/>
  <sheetViews>
    <sheetView showFormulas="false" showGridLines="true" showRowColHeaders="true" showZeros="true" rightToLeft="false" tabSelected="true" showOutlineSymbols="true" defaultGridColor="true" view="normal" topLeftCell="B4" colorId="64" zoomScale="130" zoomScaleNormal="130" zoomScalePageLayoutView="100" workbookViewId="0">
      <selection pane="topLeft" activeCell="F28" activeCellId="0" sqref="F28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8"/>
    <col collapsed="false" customWidth="true" hidden="false" outlineLevel="0" max="3" min="3" style="1" width="24"/>
    <col collapsed="false" customWidth="true" hidden="false" outlineLevel="0" max="4" min="4" style="1" width="40"/>
    <col collapsed="false" customWidth="true" hidden="false" outlineLevel="0" max="5" min="5" style="1" width="18"/>
    <col collapsed="false" customWidth="true" hidden="false" outlineLevel="0" max="6" min="6" style="1" width="16"/>
    <col collapsed="false" customWidth="true" hidden="false" outlineLevel="0" max="7" min="7" style="1" width="24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28"/>
    <col collapsed="false" customWidth="true" hidden="false" outlineLevel="0" max="11" min="11" style="1" width="40"/>
  </cols>
  <sheetData>
    <row r="1" customFormat="false" ht="19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customFormat="false" ht="14.25" hidden="false" customHeight="true" outlineLevel="0" collapsed="false">
      <c r="A2" s="4" t="s">
        <v>18</v>
      </c>
      <c r="B2" s="4" t="s">
        <v>19</v>
      </c>
      <c r="C2" s="4" t="s">
        <v>20</v>
      </c>
      <c r="D2" s="4" t="s">
        <v>20</v>
      </c>
      <c r="E2" s="5" t="n">
        <v>46507</v>
      </c>
      <c r="F2" s="6" t="n">
        <f aca="false">Tracker_All[[#This Row],[تاريخ الانتهاء]]-TODAY()</f>
        <v>331</v>
      </c>
      <c r="G2" s="5" t="n">
        <f aca="false">IF(E2="","",E2-30)</f>
        <v>46477</v>
      </c>
      <c r="H2" s="7" t="str">
        <f aca="false">IF(E2="","بدون تاريخ",IF(F2&lt;0,"منتهي",IF(F2&lt;=30,"حرج",IF(F2&lt;=60,"قريب","ساري"))))</f>
        <v>ساري</v>
      </c>
      <c r="I2" s="7" t="str">
        <f aca="false">IF(H2="بدون تاريخ","مراجعة مطلوبة",IF(H2="منتهي","عالية",IF(H2="حرج","عالية",IF(H2="قريب","متوسطة","منخفضة"))))</f>
        <v>منخفضة</v>
      </c>
      <c r="J2" s="4" t="s">
        <v>21</v>
      </c>
      <c r="K2" s="4"/>
      <c r="L2" s="8" t="s">
        <v>22</v>
      </c>
      <c r="M2" s="8" t="s">
        <v>23</v>
      </c>
      <c r="N2" s="8" t="s">
        <v>24</v>
      </c>
      <c r="O2" s="1" t="s">
        <v>25</v>
      </c>
      <c r="P2" s="1" t="s">
        <v>26</v>
      </c>
      <c r="Q2" s="1" t="s">
        <v>27</v>
      </c>
      <c r="R2" s="1" t="s">
        <v>28</v>
      </c>
    </row>
    <row r="3" customFormat="false" ht="14.25" hidden="false" customHeight="true" outlineLevel="0" collapsed="false">
      <c r="A3" s="4" t="s">
        <v>18</v>
      </c>
      <c r="B3" s="4" t="s">
        <v>29</v>
      </c>
      <c r="C3" s="4" t="s">
        <v>30</v>
      </c>
      <c r="D3" s="4" t="s">
        <v>31</v>
      </c>
      <c r="E3" s="5" t="n">
        <v>46239</v>
      </c>
      <c r="F3" s="6" t="n">
        <f aca="false">Tracker_All[[#This Row],[تاريخ الانتهاء]]-TODAY()</f>
        <v>63</v>
      </c>
      <c r="G3" s="5" t="n">
        <f aca="false">IF(E3="","",E3-30)</f>
        <v>46209</v>
      </c>
      <c r="H3" s="7" t="str">
        <f aca="false">IF(E3="","بدون تاريخ",IF(F3&lt;0,"منتهي",IF(F3&lt;=30,"حرج",IF(F3&lt;=60,"قريب","ساري"))))</f>
        <v>ساري</v>
      </c>
      <c r="I3" s="7" t="str">
        <f aca="false">IF(H3="بدون تاريخ","مراجعة مطلوبة",IF(H3="منتهي","عالية",IF(H3="حرج","عالية",IF(H3="قريب","متوسطة","منخفضة"))))</f>
        <v>منخفضة</v>
      </c>
      <c r="J3" s="4" t="s">
        <v>21</v>
      </c>
      <c r="K3" s="4" t="s">
        <v>32</v>
      </c>
      <c r="L3" s="8" t="s">
        <v>33</v>
      </c>
      <c r="M3" s="8" t="s">
        <v>34</v>
      </c>
      <c r="N3" s="8" t="s">
        <v>35</v>
      </c>
      <c r="O3" s="1" t="s">
        <v>36</v>
      </c>
      <c r="P3" s="1" t="s">
        <v>37</v>
      </c>
      <c r="Q3" s="1" t="s">
        <v>27</v>
      </c>
      <c r="R3" s="8" t="s">
        <v>38</v>
      </c>
    </row>
    <row r="4" customFormat="false" ht="14.25" hidden="false" customHeight="true" outlineLevel="0" collapsed="false">
      <c r="A4" s="4" t="s">
        <v>18</v>
      </c>
      <c r="B4" s="4" t="s">
        <v>29</v>
      </c>
      <c r="C4" s="4" t="s">
        <v>30</v>
      </c>
      <c r="D4" s="4" t="s">
        <v>39</v>
      </c>
      <c r="E4" s="5" t="n">
        <v>46235</v>
      </c>
      <c r="F4" s="6" t="n">
        <f aca="false">Tracker_All[[#This Row],[تاريخ الانتهاء]]-TODAY()</f>
        <v>59</v>
      </c>
      <c r="G4" s="5" t="n">
        <f aca="false">IF(E4="","",E4-30)</f>
        <v>46205</v>
      </c>
      <c r="H4" s="7" t="str">
        <f aca="false">IF(E4="","بدون تاريخ",IF(F4&lt;0,"منتهي",IF(F4&lt;=30,"حرج",IF(F4&lt;=60,"قريب","ساري"))))</f>
        <v>قريب</v>
      </c>
      <c r="I4" s="7" t="str">
        <f aca="false">IF(H4="بدون تاريخ","مراجعة مطلوبة",IF(H4="منتهي","عالية",IF(H4="حرج","عالية",IF(H4="قريب","متوسطة","منخفضة"))))</f>
        <v>متوسطة</v>
      </c>
      <c r="J4" s="4" t="s">
        <v>21</v>
      </c>
      <c r="K4" s="4" t="s">
        <v>32</v>
      </c>
      <c r="L4" s="8" t="s">
        <v>33</v>
      </c>
      <c r="M4" s="8" t="s">
        <v>34</v>
      </c>
      <c r="N4" s="8" t="s">
        <v>40</v>
      </c>
      <c r="O4" s="1" t="s">
        <v>41</v>
      </c>
      <c r="P4" s="1" t="s">
        <v>42</v>
      </c>
      <c r="Q4" s="1" t="s">
        <v>43</v>
      </c>
      <c r="R4" s="8" t="s">
        <v>44</v>
      </c>
    </row>
    <row r="5" customFormat="false" ht="14.25" hidden="false" customHeight="true" outlineLevel="0" collapsed="false">
      <c r="A5" s="4" t="s">
        <v>18</v>
      </c>
      <c r="B5" s="4" t="s">
        <v>45</v>
      </c>
      <c r="C5" s="4" t="s">
        <v>46</v>
      </c>
      <c r="D5" s="4" t="s">
        <v>47</v>
      </c>
      <c r="E5" s="5" t="n">
        <v>46532</v>
      </c>
      <c r="F5" s="6" t="n">
        <f aca="false">Tracker_All[[#This Row],[تاريخ الانتهاء]]-TODAY()</f>
        <v>356</v>
      </c>
      <c r="G5" s="5" t="n">
        <f aca="false">IF(E5="","",E5-30)</f>
        <v>46502</v>
      </c>
      <c r="H5" s="7" t="str">
        <f aca="false">IF(E5="","بدون تاريخ",IF(F5&lt;0,"منتهي",IF(F5&lt;=30,"حرج",IF(F5&lt;=60,"قريب","ساري"))))</f>
        <v>ساري</v>
      </c>
      <c r="I5" s="7" t="str">
        <f aca="false">IF(H5="بدون تاريخ","مراجعة مطلوبة",IF(H5="منتهي","عالية",IF(H5="حرج","عالية",IF(H5="قريب","متوسطة","منخفضة"))))</f>
        <v>منخفضة</v>
      </c>
      <c r="J5" s="4" t="s">
        <v>21</v>
      </c>
      <c r="K5" s="4" t="s">
        <v>32</v>
      </c>
      <c r="L5" s="8" t="s">
        <v>48</v>
      </c>
      <c r="M5" s="8" t="s">
        <v>49</v>
      </c>
      <c r="N5" s="8" t="s">
        <v>50</v>
      </c>
      <c r="O5" s="1" t="s">
        <v>51</v>
      </c>
      <c r="P5" s="1" t="s">
        <v>52</v>
      </c>
      <c r="Q5" s="1" t="s">
        <v>27</v>
      </c>
      <c r="R5" s="1" t="s">
        <v>53</v>
      </c>
    </row>
    <row r="6" customFormat="false" ht="24.75" hidden="false" customHeight="true" outlineLevel="0" collapsed="false">
      <c r="A6" s="4" t="s">
        <v>18</v>
      </c>
      <c r="B6" s="4" t="s">
        <v>54</v>
      </c>
      <c r="C6" s="4" t="s">
        <v>55</v>
      </c>
      <c r="D6" s="4" t="s">
        <v>56</v>
      </c>
      <c r="E6" s="5" t="n">
        <v>46532</v>
      </c>
      <c r="F6" s="6" t="n">
        <f aca="false">Tracker_All[[#This Row],[تاريخ الانتهاء]]-TODAY()</f>
        <v>356</v>
      </c>
      <c r="G6" s="5" t="n">
        <f aca="false">IF(E6="","",E6-30)</f>
        <v>46502</v>
      </c>
      <c r="H6" s="7" t="str">
        <f aca="false">IF(E6="","بدون تاريخ",IF(F6&lt;0,"منتهي",IF(F6&lt;=30,"حرج",IF(F6&lt;=60,"قريب","ساري"))))</f>
        <v>ساري</v>
      </c>
      <c r="I6" s="7" t="str">
        <f aca="false">IF(H6="بدون تاريخ","مراجعة مطلوبة",IF(H6="منتهي","عالية",IF(H6="حرج","عالية",IF(H6="قريب","متوسطة","منخفضة"))))</f>
        <v>منخفضة</v>
      </c>
      <c r="J6" s="4" t="s">
        <v>21</v>
      </c>
      <c r="K6" s="4" t="s">
        <v>57</v>
      </c>
      <c r="L6" s="8" t="s">
        <v>58</v>
      </c>
      <c r="M6" s="8" t="s">
        <v>59</v>
      </c>
      <c r="N6" s="8" t="s">
        <v>60</v>
      </c>
      <c r="O6" s="1" t="s">
        <v>61</v>
      </c>
      <c r="P6" s="1" t="s">
        <v>62</v>
      </c>
      <c r="Q6" s="1" t="s">
        <v>27</v>
      </c>
      <c r="R6" s="8" t="s">
        <v>63</v>
      </c>
    </row>
    <row r="7" customFormat="false" ht="14.25" hidden="false" customHeight="true" outlineLevel="0" collapsed="false">
      <c r="A7" s="4" t="s">
        <v>18</v>
      </c>
      <c r="B7" s="4" t="s">
        <v>64</v>
      </c>
      <c r="C7" s="4" t="s">
        <v>65</v>
      </c>
      <c r="D7" s="4" t="s">
        <v>65</v>
      </c>
      <c r="E7" s="5" t="n">
        <v>46951</v>
      </c>
      <c r="F7" s="6" t="n">
        <f aca="false">Tracker_All[[#This Row],[تاريخ الانتهاء]]-TODAY()</f>
        <v>775</v>
      </c>
      <c r="G7" s="5" t="n">
        <f aca="false">IF(E7="","",E7-30)</f>
        <v>46921</v>
      </c>
      <c r="H7" s="7" t="str">
        <f aca="false">IF(E7="","بدون تاريخ",IF(F7&lt;0,"منتهي",IF(F7&lt;=30,"حرج",IF(F7&lt;=60,"قريب","ساري"))))</f>
        <v>ساري</v>
      </c>
      <c r="I7" s="7" t="str">
        <f aca="false">IF(H7="بدون تاريخ","مراجعة مطلوبة",IF(H7="منتهي","عالية",IF(H7="حرج","عالية",IF(H7="قريب","متوسطة","منخفضة"))))</f>
        <v>منخفضة</v>
      </c>
      <c r="J7" s="4" t="s">
        <v>21</v>
      </c>
      <c r="K7" s="4"/>
      <c r="L7" s="8" t="s">
        <v>66</v>
      </c>
      <c r="M7" s="8" t="s">
        <v>67</v>
      </c>
      <c r="N7" s="8" t="s">
        <v>68</v>
      </c>
      <c r="O7" s="1"/>
      <c r="P7" s="1" t="s">
        <v>69</v>
      </c>
      <c r="Q7" s="1" t="s">
        <v>43</v>
      </c>
      <c r="R7" s="8" t="s">
        <v>70</v>
      </c>
    </row>
    <row r="8" customFormat="false" ht="14.25" hidden="false" customHeight="true" outlineLevel="0" collapsed="false">
      <c r="A8" s="9" t="s">
        <v>71</v>
      </c>
      <c r="B8" s="9" t="s">
        <v>72</v>
      </c>
      <c r="C8" s="9" t="s">
        <v>73</v>
      </c>
      <c r="D8" s="9" t="s">
        <v>74</v>
      </c>
      <c r="E8" s="10" t="n">
        <v>46216</v>
      </c>
      <c r="F8" s="6" t="n">
        <f aca="false">Tracker_All[[#This Row],[تاريخ الانتهاء]]-TODAY()</f>
        <v>40</v>
      </c>
      <c r="G8" s="5" t="n">
        <f aca="false">IF(E8="","",E8-30)</f>
        <v>46186</v>
      </c>
      <c r="H8" s="7" t="str">
        <f aca="false">IF(E8="","بدون تاريخ",IF(F8&lt;0,"منتهي",IF(F8&lt;=30,"حرج",IF(F8&lt;=60,"قريب","ساري"))))</f>
        <v>قريب</v>
      </c>
      <c r="I8" s="7" t="str">
        <f aca="false">IF(H8="بدون تاريخ","مراجعة مطلوبة",IF(H8="منتهي","عالية",IF(H8="حرج","عالية",IF(H8="قريب","متوسطة","منخفضة"))))</f>
        <v>متوسطة</v>
      </c>
      <c r="J8" s="9" t="s">
        <v>75</v>
      </c>
      <c r="K8" s="9" t="s">
        <v>76</v>
      </c>
    </row>
    <row r="9" customFormat="false" ht="14.25" hidden="false" customHeight="true" outlineLevel="0" collapsed="false">
      <c r="A9" s="9" t="s">
        <v>71</v>
      </c>
      <c r="B9" s="9" t="s">
        <v>77</v>
      </c>
      <c r="C9" s="9" t="s">
        <v>78</v>
      </c>
      <c r="D9" s="9" t="s">
        <v>79</v>
      </c>
      <c r="E9" s="10" t="n">
        <v>46529</v>
      </c>
      <c r="F9" s="6" t="n">
        <f aca="false">Tracker_All[[#This Row],[تاريخ الانتهاء]]-TODAY()</f>
        <v>353</v>
      </c>
      <c r="G9" s="5" t="n">
        <f aca="false">IF(E9="","",E9-30)</f>
        <v>46499</v>
      </c>
      <c r="H9" s="7" t="str">
        <f aca="false">IF(E9="","بدون تاريخ",IF(F9&lt;0,"منتهي",IF(F9&lt;=30,"حرج",IF(F9&lt;=60,"قريب","ساري"))))</f>
        <v>ساري</v>
      </c>
      <c r="I9" s="7" t="str">
        <f aca="false">IF(H9="بدون تاريخ","مراجعة مطلوبة",IF(H9="منتهي","عالية",IF(H9="حرج","عالية",IF(H9="قريب","متوسطة","منخفضة"))))</f>
        <v>منخفضة</v>
      </c>
      <c r="J9" s="9" t="s">
        <v>75</v>
      </c>
      <c r="K9" s="9" t="s">
        <v>80</v>
      </c>
    </row>
    <row r="10" customFormat="false" ht="14.25" hidden="false" customHeight="true" outlineLevel="0" collapsed="false">
      <c r="A10" s="9" t="s">
        <v>18</v>
      </c>
      <c r="B10" s="9" t="s">
        <v>81</v>
      </c>
      <c r="C10" s="9" t="s">
        <v>82</v>
      </c>
      <c r="D10" s="9" t="s">
        <v>83</v>
      </c>
      <c r="E10" s="10" t="n">
        <v>46526</v>
      </c>
      <c r="F10" s="6" t="n">
        <f aca="false">Tracker_All[[#This Row],[تاريخ الانتهاء]]-TODAY()</f>
        <v>350</v>
      </c>
      <c r="G10" s="5" t="n">
        <f aca="false">IF(E10="","",E10-30)</f>
        <v>46496</v>
      </c>
      <c r="H10" s="7" t="str">
        <f aca="false">IF(E10="","بدون تاريخ",IF(F10&lt;0,"منتهي",IF(F10&lt;=30,"حرج",IF(F10&lt;=60,"قريب","ساري"))))</f>
        <v>ساري</v>
      </c>
      <c r="I10" s="7" t="str">
        <f aca="false">IF(H10="بدون تاريخ","مراجعة مطلوبة",IF(H10="منتهي","عالية",IF(H10="حرج","عالية",IF(H10="قريب","متوسطة","منخفضة"))))</f>
        <v>منخفضة</v>
      </c>
      <c r="J10" s="9" t="s">
        <v>21</v>
      </c>
      <c r="K10" s="9" t="s">
        <v>32</v>
      </c>
      <c r="L10" s="8" t="s">
        <v>84</v>
      </c>
      <c r="M10" s="8" t="s">
        <v>85</v>
      </c>
      <c r="N10" s="8" t="s">
        <v>86</v>
      </c>
      <c r="O10" s="1" t="s">
        <v>87</v>
      </c>
      <c r="P10" s="1" t="s">
        <v>88</v>
      </c>
      <c r="Q10" s="1" t="s">
        <v>43</v>
      </c>
      <c r="R10" s="8" t="s">
        <v>89</v>
      </c>
    </row>
    <row r="11" customFormat="false" ht="14.25" hidden="false" customHeight="true" outlineLevel="0" collapsed="false">
      <c r="A11" s="9" t="s">
        <v>71</v>
      </c>
      <c r="B11" s="9" t="s">
        <v>72</v>
      </c>
      <c r="C11" s="9" t="s">
        <v>90</v>
      </c>
      <c r="D11" s="9" t="s">
        <v>91</v>
      </c>
      <c r="E11" s="10" t="n">
        <v>46245</v>
      </c>
      <c r="F11" s="6" t="n">
        <f aca="false">Tracker_All[[#This Row],[تاريخ الانتهاء]]-TODAY()</f>
        <v>69</v>
      </c>
      <c r="G11" s="5" t="n">
        <f aca="false">IF(E11="","",E11-30)</f>
        <v>46215</v>
      </c>
      <c r="H11" s="7" t="str">
        <f aca="false">IF(E11="","بدون تاريخ",IF(F11&lt;0,"منتهي",IF(F11&lt;=30,"حرج",IF(F11&lt;=60,"قريب","ساري"))))</f>
        <v>ساري</v>
      </c>
      <c r="I11" s="7" t="str">
        <f aca="false">IF(H11="بدون تاريخ","مراجعة مطلوبة",IF(H11="منتهي","عالية",IF(H11="حرج","عالية",IF(H11="قريب","متوسطة","منخفضة"))))</f>
        <v>منخفضة</v>
      </c>
      <c r="J11" s="9" t="s">
        <v>75</v>
      </c>
      <c r="K11" s="9" t="s">
        <v>76</v>
      </c>
    </row>
    <row r="12" customFormat="false" ht="14.25" hidden="false" customHeight="true" outlineLevel="0" collapsed="false">
      <c r="A12" s="7" t="s">
        <v>71</v>
      </c>
      <c r="B12" s="7" t="s">
        <v>72</v>
      </c>
      <c r="C12" s="7" t="s">
        <v>92</v>
      </c>
      <c r="D12" s="7" t="s">
        <v>93</v>
      </c>
      <c r="E12" s="11" t="n">
        <v>46232</v>
      </c>
      <c r="F12" s="6" t="n">
        <f aca="false">Tracker_All[[#This Row],[تاريخ الانتهاء]]-TODAY()</f>
        <v>56</v>
      </c>
      <c r="G12" s="5" t="n">
        <f aca="false">IF(E12="","",E12-30)</f>
        <v>46202</v>
      </c>
      <c r="H12" s="7" t="str">
        <f aca="false">IF(E12="","بدون تاريخ",IF(F12&lt;0,"منتهي",IF(F12&lt;=30,"حرج",IF(F12&lt;=60,"قريب","ساري"))))</f>
        <v>قريب</v>
      </c>
      <c r="I12" s="7" t="str">
        <f aca="false">IF(H12="بدون تاريخ","مراجعة مطلوبة",IF(H12="منتهي","عالية",IF(H12="حرج","عالية",IF(H12="قريب","متوسطة","منخفضة"))))</f>
        <v>متوسطة</v>
      </c>
      <c r="J12" s="7" t="s">
        <v>75</v>
      </c>
      <c r="K12" s="7" t="s">
        <v>94</v>
      </c>
    </row>
    <row r="13" customFormat="false" ht="14.25" hidden="false" customHeight="true" outlineLevel="0" collapsed="false">
      <c r="A13" s="7" t="s">
        <v>18</v>
      </c>
      <c r="B13" s="7" t="s">
        <v>95</v>
      </c>
      <c r="C13" s="7" t="s">
        <v>96</v>
      </c>
      <c r="D13" s="7" t="s">
        <v>96</v>
      </c>
      <c r="E13" s="11" t="n">
        <v>46213</v>
      </c>
      <c r="F13" s="6" t="n">
        <f aca="false">Tracker_All[[#This Row],[تاريخ الانتهاء]]-TODAY()</f>
        <v>37</v>
      </c>
      <c r="G13" s="5" t="n">
        <f aca="false">IF(E13="","",E13-30)</f>
        <v>46183</v>
      </c>
      <c r="H13" s="7" t="str">
        <f aca="false">IF(E13="","بدون تاريخ",IF(F13&lt;0,"منتهي",IF(F13&lt;=30,"حرج",IF(F13&lt;=60,"قريب","ساري"))))</f>
        <v>قريب</v>
      </c>
      <c r="I13" s="7" t="str">
        <f aca="false">IF(H13="بدون تاريخ","مراجعة مطلوبة",IF(H13="منتهي","عالية",IF(H13="حرج","عالية",IF(H13="قريب","متوسطة","منخفضة"))))</f>
        <v>متوسطة</v>
      </c>
      <c r="J13" s="7" t="s">
        <v>21</v>
      </c>
      <c r="K13" s="7"/>
      <c r="L13" s="8" t="s">
        <v>97</v>
      </c>
      <c r="M13" s="8" t="s">
        <v>98</v>
      </c>
      <c r="N13" s="8" t="s">
        <v>99</v>
      </c>
      <c r="O13" s="1" t="s">
        <v>100</v>
      </c>
      <c r="P13" s="1" t="s">
        <v>101</v>
      </c>
      <c r="Q13" s="1" t="s">
        <v>43</v>
      </c>
      <c r="R13" s="8" t="s">
        <v>102</v>
      </c>
    </row>
    <row r="14" customFormat="false" ht="14.25" hidden="false" customHeight="true" outlineLevel="0" collapsed="false">
      <c r="A14" s="7" t="s">
        <v>71</v>
      </c>
      <c r="B14" s="7" t="s">
        <v>72</v>
      </c>
      <c r="C14" s="7" t="s">
        <v>103</v>
      </c>
      <c r="D14" s="7" t="s">
        <v>104</v>
      </c>
      <c r="E14" s="11" t="n">
        <v>46469</v>
      </c>
      <c r="F14" s="6" t="n">
        <f aca="false">Tracker_All[[#This Row],[تاريخ الانتهاء]]-TODAY()</f>
        <v>293</v>
      </c>
      <c r="G14" s="5" t="n">
        <f aca="false">IF(E14="","",E14-30)</f>
        <v>46439</v>
      </c>
      <c r="H14" s="7" t="str">
        <f aca="false">IF(E14="","بدون تاريخ",IF(F14&lt;0,"منتهي",IF(F14&lt;=30,"حرج",IF(F14&lt;=60,"قريب","ساري"))))</f>
        <v>ساري</v>
      </c>
      <c r="I14" s="7" t="str">
        <f aca="false">IF(H14="بدون تاريخ","مراجعة مطلوبة",IF(H14="منتهي","عالية",IF(H14="حرج","عالية",IF(H14="قريب","متوسطة","منخفضة"))))</f>
        <v>منخفضة</v>
      </c>
      <c r="J14" s="7" t="s">
        <v>75</v>
      </c>
      <c r="K14" s="7" t="s">
        <v>105</v>
      </c>
    </row>
    <row r="15" customFormat="false" ht="14.25" hidden="false" customHeight="true" outlineLevel="0" collapsed="false">
      <c r="A15" s="7" t="s">
        <v>18</v>
      </c>
      <c r="B15" s="7" t="s">
        <v>106</v>
      </c>
      <c r="C15" s="7" t="s">
        <v>107</v>
      </c>
      <c r="D15" s="7" t="s">
        <v>108</v>
      </c>
      <c r="E15" s="11" t="n">
        <v>46235</v>
      </c>
      <c r="F15" s="6" t="n">
        <f aca="false">Tracker_All[[#This Row],[تاريخ الانتهاء]]-TODAY()</f>
        <v>59</v>
      </c>
      <c r="G15" s="5" t="n">
        <f aca="false">IF(E15="","",E15-30)</f>
        <v>46205</v>
      </c>
      <c r="H15" s="7" t="str">
        <f aca="false">IF(E15="","بدون تاريخ",IF(F15&lt;0,"منتهي",IF(F15&lt;=30,"حرج",IF(F15&lt;=60,"قريب","ساري"))))</f>
        <v>قريب</v>
      </c>
      <c r="I15" s="7" t="str">
        <f aca="false">IF(H15="بدون تاريخ","مراجعة مطلوبة",IF(H15="منتهي","عالية",IF(H15="حرج","عالية",IF(H15="قريب","متوسطة","منخفضة"))))</f>
        <v>متوسطة</v>
      </c>
      <c r="J15" s="7" t="s">
        <v>21</v>
      </c>
      <c r="K15" s="7"/>
      <c r="L15" s="8" t="s">
        <v>109</v>
      </c>
      <c r="M15" s="8" t="s">
        <v>110</v>
      </c>
      <c r="N15" s="8" t="s">
        <v>111</v>
      </c>
      <c r="O15" s="1" t="s">
        <v>112</v>
      </c>
      <c r="P15" s="1" t="s">
        <v>113</v>
      </c>
      <c r="Q15" s="1" t="s">
        <v>43</v>
      </c>
      <c r="R15" s="1" t="s">
        <v>114</v>
      </c>
    </row>
    <row r="16" customFormat="false" ht="14.25" hidden="false" customHeight="true" outlineLevel="0" collapsed="false">
      <c r="A16" s="7" t="s">
        <v>71</v>
      </c>
      <c r="B16" s="7" t="s">
        <v>77</v>
      </c>
      <c r="C16" s="7" t="s">
        <v>92</v>
      </c>
      <c r="D16" s="7" t="s">
        <v>115</v>
      </c>
      <c r="E16" s="11" t="n">
        <v>46344</v>
      </c>
      <c r="F16" s="6" t="n">
        <f aca="false">Tracker_All[[#This Row],[تاريخ الانتهاء]]-TODAY()</f>
        <v>168</v>
      </c>
      <c r="G16" s="5" t="n">
        <f aca="false">IF(E16="","",E16-30)</f>
        <v>46314</v>
      </c>
      <c r="H16" s="7" t="str">
        <f aca="false">IF(E16="","بدون تاريخ",IF(F16&lt;0,"منتهي",IF(F16&lt;=30,"حرج",IF(F16&lt;=60,"قريب","ساري"))))</f>
        <v>ساري</v>
      </c>
      <c r="I16" s="7" t="str">
        <f aca="false">IF(H16="بدون تاريخ","مراجعة مطلوبة",IF(H16="منتهي","عالية",IF(H16="حرج","عالية",IF(H16="قريب","متوسطة","منخفضة"))))</f>
        <v>منخفضة</v>
      </c>
      <c r="J16" s="7" t="s">
        <v>75</v>
      </c>
      <c r="K16" s="7" t="s">
        <v>116</v>
      </c>
    </row>
    <row r="17" customFormat="false" ht="14.25" hidden="false" customHeight="true" outlineLevel="0" collapsed="false">
      <c r="A17" s="7" t="s">
        <v>18</v>
      </c>
      <c r="B17" s="7" t="s">
        <v>45</v>
      </c>
      <c r="C17" s="7" t="s">
        <v>46</v>
      </c>
      <c r="D17" s="7" t="s">
        <v>117</v>
      </c>
      <c r="E17" s="11" t="n">
        <v>46391</v>
      </c>
      <c r="F17" s="6" t="n">
        <f aca="false">Tracker_All[[#This Row],[تاريخ الانتهاء]]-TODAY()</f>
        <v>215</v>
      </c>
      <c r="G17" s="5" t="n">
        <f aca="false">IF(E17="","",E17-30)</f>
        <v>46361</v>
      </c>
      <c r="H17" s="7" t="str">
        <f aca="false">IF(E17="","بدون تاريخ",IF(F17&lt;0,"منتهي",IF(F17&lt;=30,"حرج",IF(F17&lt;=60,"قريب","ساري"))))</f>
        <v>ساري</v>
      </c>
      <c r="I17" s="7" t="str">
        <f aca="false">IF(H17="بدون تاريخ","مراجعة مطلوبة",IF(H17="منتهي","عالية",IF(H17="حرج","عالية",IF(H17="قريب","متوسطة","منخفضة"))))</f>
        <v>منخفضة</v>
      </c>
      <c r="J17" s="7" t="s">
        <v>21</v>
      </c>
      <c r="K17" s="7" t="s">
        <v>32</v>
      </c>
      <c r="L17" s="8" t="s">
        <v>48</v>
      </c>
      <c r="M17" s="8" t="s">
        <v>49</v>
      </c>
      <c r="N17" s="8" t="s">
        <v>118</v>
      </c>
      <c r="O17" s="1" t="s">
        <v>119</v>
      </c>
      <c r="P17" s="1" t="s">
        <v>120</v>
      </c>
      <c r="Q17" s="1" t="s">
        <v>43</v>
      </c>
      <c r="R17" s="1" t="s">
        <v>121</v>
      </c>
    </row>
    <row r="18" customFormat="false" ht="24.75" hidden="false" customHeight="true" outlineLevel="0" collapsed="false">
      <c r="A18" s="7" t="s">
        <v>18</v>
      </c>
      <c r="B18" s="7" t="s">
        <v>54</v>
      </c>
      <c r="C18" s="7" t="s">
        <v>55</v>
      </c>
      <c r="D18" s="7" t="s">
        <v>122</v>
      </c>
      <c r="E18" s="11" t="n">
        <v>46391</v>
      </c>
      <c r="F18" s="6" t="n">
        <f aca="false">Tracker_All[[#This Row],[تاريخ الانتهاء]]-TODAY()</f>
        <v>215</v>
      </c>
      <c r="G18" s="5" t="n">
        <f aca="false">IF(E18="","",E18-30)</f>
        <v>46361</v>
      </c>
      <c r="H18" s="7" t="str">
        <f aca="false">IF(E18="","بدون تاريخ",IF(F18&lt;0,"منتهي",IF(F18&lt;=30,"حرج",IF(F18&lt;=60,"قريب","ساري"))))</f>
        <v>ساري</v>
      </c>
      <c r="I18" s="7" t="str">
        <f aca="false">IF(H18="بدون تاريخ","مراجعة مطلوبة",IF(H18="منتهي","عالية",IF(H18="حرج","عالية",IF(H18="قريب","متوسطة","منخفضة"))))</f>
        <v>منخفضة</v>
      </c>
      <c r="J18" s="7" t="s">
        <v>21</v>
      </c>
      <c r="K18" s="7" t="s">
        <v>57</v>
      </c>
      <c r="L18" s="8" t="s">
        <v>123</v>
      </c>
      <c r="M18" s="8" t="s">
        <v>59</v>
      </c>
      <c r="N18" s="8" t="s">
        <v>124</v>
      </c>
      <c r="O18" s="1" t="s">
        <v>125</v>
      </c>
      <c r="P18" s="1" t="s">
        <v>126</v>
      </c>
      <c r="Q18" s="1" t="s">
        <v>43</v>
      </c>
      <c r="R18" s="8" t="s">
        <v>127</v>
      </c>
    </row>
    <row r="19" customFormat="false" ht="14.25" hidden="false" customHeight="true" outlineLevel="0" collapsed="false">
      <c r="A19" s="7" t="s">
        <v>18</v>
      </c>
      <c r="B19" s="7" t="s">
        <v>128</v>
      </c>
      <c r="C19" s="7" t="s">
        <v>129</v>
      </c>
      <c r="D19" s="7" t="s">
        <v>130</v>
      </c>
      <c r="E19" s="11" t="n">
        <v>46396</v>
      </c>
      <c r="F19" s="6" t="n">
        <f aca="false">Tracker_All[[#This Row],[تاريخ الانتهاء]]-TODAY()</f>
        <v>220</v>
      </c>
      <c r="G19" s="5" t="n">
        <f aca="false">IF(E19="","",E19-30)</f>
        <v>46366</v>
      </c>
      <c r="H19" s="7" t="str">
        <f aca="false">IF(E19="","بدون تاريخ",IF(F19&lt;0,"منتهي",IF(F19&lt;=30,"حرج",IF(F19&lt;=60,"قريب","ساري"))))</f>
        <v>ساري</v>
      </c>
      <c r="I19" s="7" t="str">
        <f aca="false">IF(H19="بدون تاريخ","مراجعة مطلوبة",IF(H19="منتهي","عالية",IF(H19="حرج","عالية",IF(H19="قريب","متوسطة","منخفضة"))))</f>
        <v>منخفضة</v>
      </c>
      <c r="J19" s="7" t="s">
        <v>21</v>
      </c>
      <c r="K19" s="7" t="s">
        <v>32</v>
      </c>
      <c r="L19" s="8" t="s">
        <v>131</v>
      </c>
      <c r="M19" s="8" t="s">
        <v>132</v>
      </c>
      <c r="N19" s="8" t="s">
        <v>133</v>
      </c>
      <c r="O19" s="1" t="s">
        <v>134</v>
      </c>
      <c r="P19" s="1" t="s">
        <v>135</v>
      </c>
      <c r="Q19" s="1" t="s">
        <v>27</v>
      </c>
      <c r="R19" s="8" t="s">
        <v>136</v>
      </c>
    </row>
    <row r="20" customFormat="false" ht="14.25" hidden="false" customHeight="true" outlineLevel="0" collapsed="false">
      <c r="A20" s="7" t="s">
        <v>71</v>
      </c>
      <c r="B20" s="7" t="s">
        <v>77</v>
      </c>
      <c r="C20" s="7" t="s">
        <v>73</v>
      </c>
      <c r="D20" s="7" t="s">
        <v>137</v>
      </c>
      <c r="E20" s="11" t="n">
        <v>46529</v>
      </c>
      <c r="F20" s="6" t="n">
        <f aca="false">Tracker_All[[#This Row],[تاريخ الانتهاء]]-TODAY()</f>
        <v>353</v>
      </c>
      <c r="G20" s="5" t="n">
        <f aca="false">IF(E20="","",E20-30)</f>
        <v>46499</v>
      </c>
      <c r="H20" s="7" t="str">
        <f aca="false">IF(E20="","بدون تاريخ",IF(F20&lt;0,"منتهي",IF(F20&lt;=30,"حرج",IF(F20&lt;=60,"قريب","ساري"))))</f>
        <v>ساري</v>
      </c>
      <c r="I20" s="7" t="str">
        <f aca="false">IF(H20="بدون تاريخ","مراجعة مطلوبة",IF(H20="منتهي","عالية",IF(H20="حرج","عالية",IF(H20="قريب","متوسطة","منخفضة"))))</f>
        <v>منخفضة</v>
      </c>
      <c r="J20" s="7" t="s">
        <v>75</v>
      </c>
      <c r="K20" s="7" t="s">
        <v>138</v>
      </c>
    </row>
    <row r="21" customFormat="false" ht="14.25" hidden="false" customHeight="true" outlineLevel="0" collapsed="false">
      <c r="A21" s="7" t="s">
        <v>71</v>
      </c>
      <c r="B21" s="7" t="s">
        <v>77</v>
      </c>
      <c r="C21" s="7" t="s">
        <v>90</v>
      </c>
      <c r="D21" s="7" t="s">
        <v>139</v>
      </c>
      <c r="E21" s="11" t="n">
        <v>46535</v>
      </c>
      <c r="F21" s="6" t="n">
        <f aca="false">Tracker_All[[#This Row],[تاريخ الانتهاء]]-TODAY()</f>
        <v>359</v>
      </c>
      <c r="G21" s="5" t="n">
        <f aca="false">IF(E21="","",E21-30)</f>
        <v>46505</v>
      </c>
      <c r="H21" s="7" t="str">
        <f aca="false">IF(E21="","بدون تاريخ",IF(F21&lt;0,"منتهي",IF(F21&lt;=30,"حرج",IF(F21&lt;=60,"قريب","ساري"))))</f>
        <v>ساري</v>
      </c>
      <c r="I21" s="7" t="str">
        <f aca="false">IF(H21="بدون تاريخ","مراجعة مطلوبة",IF(H21="منتهي","عالية",IF(H21="حرج","عالية",IF(H21="قريب","متوسطة","منخفضة"))))</f>
        <v>منخفضة</v>
      </c>
      <c r="J21" s="7" t="s">
        <v>75</v>
      </c>
      <c r="K21" s="7" t="s">
        <v>140</v>
      </c>
    </row>
    <row r="22" customFormat="false" ht="14.25" hidden="false" customHeight="true" outlineLevel="0" collapsed="false">
      <c r="A22" s="7" t="s">
        <v>71</v>
      </c>
      <c r="B22" s="7" t="s">
        <v>77</v>
      </c>
      <c r="C22" s="7" t="s">
        <v>103</v>
      </c>
      <c r="D22" s="7" t="s">
        <v>141</v>
      </c>
      <c r="E22" s="11" t="n">
        <v>46554</v>
      </c>
      <c r="F22" s="6" t="n">
        <f aca="false">Tracker_All[[#This Row],[تاريخ الانتهاء]]-TODAY()</f>
        <v>378</v>
      </c>
      <c r="G22" s="5" t="n">
        <f aca="false">IF(E22="","",E22-30)</f>
        <v>46524</v>
      </c>
      <c r="H22" s="7" t="str">
        <f aca="false">IF(E22="","بدون تاريخ",IF(F22&lt;0,"منتهي",IF(F22&lt;=30,"حرج",IF(F22&lt;=60,"قريب","ساري"))))</f>
        <v>ساري</v>
      </c>
      <c r="I22" s="7" t="str">
        <f aca="false">IF(H22="بدون تاريخ","مراجعة مطلوبة",IF(H22="منتهي","عالية",IF(H22="حرج","عالية",IF(H22="قريب","متوسطة","منخفضة"))))</f>
        <v>منخفضة</v>
      </c>
      <c r="J22" s="7" t="s">
        <v>75</v>
      </c>
      <c r="K22" s="7" t="s">
        <v>142</v>
      </c>
    </row>
    <row r="23" customFormat="false" ht="14.25" hidden="false" customHeight="true" outlineLevel="0" collapsed="false">
      <c r="A23" s="12" t="s">
        <v>18</v>
      </c>
      <c r="B23" s="12" t="s">
        <v>106</v>
      </c>
      <c r="C23" s="12" t="s">
        <v>107</v>
      </c>
      <c r="D23" s="12" t="s">
        <v>143</v>
      </c>
      <c r="E23" s="12"/>
      <c r="F23" s="13"/>
      <c r="G23" s="5" t="str">
        <f aca="false">IF(E23="","",E23-30)</f>
        <v/>
      </c>
      <c r="H23" s="7" t="str">
        <f aca="false">IF(E23="","بدون تاريخ",IF(F23&lt;0,"منتهي",IF(F23&lt;=30,"حرج",IF(F23&lt;=60,"قريب","ساري"))))</f>
        <v>بدون تاريخ</v>
      </c>
      <c r="I23" s="7" t="str">
        <f aca="false">IF(H23="بدون تاريخ","مراجعة مطلوبة",IF(H23="منتهي","عالية",IF(H23="حرج","عالية",IF(H23="قريب","متوسطة","منخفضة"))))</f>
        <v>مراجعة مطلوبة</v>
      </c>
      <c r="J23" s="12" t="s">
        <v>21</v>
      </c>
      <c r="K23" s="12"/>
    </row>
    <row r="24" customFormat="false" ht="14.25" hidden="false" customHeight="true" outlineLevel="0" collapsed="false">
      <c r="A24" s="12" t="s">
        <v>18</v>
      </c>
      <c r="B24" s="12" t="s">
        <v>144</v>
      </c>
      <c r="C24" s="12" t="s">
        <v>145</v>
      </c>
      <c r="D24" s="12" t="s">
        <v>146</v>
      </c>
      <c r="E24" s="12"/>
      <c r="F24" s="13"/>
      <c r="G24" s="5" t="str">
        <f aca="false">IF(E24="","",E24-30)</f>
        <v/>
      </c>
      <c r="H24" s="7" t="str">
        <f aca="false">IF(E24="","بدون تاريخ",IF(F24&lt;0,"منتهي",IF(F24&lt;=30,"حرج",IF(F24&lt;=60,"قريب","ساري"))))</f>
        <v>بدون تاريخ</v>
      </c>
      <c r="I24" s="7" t="str">
        <f aca="false">IF(H24="بدون تاريخ","مراجعة مطلوبة",IF(H24="منتهي","عالية",IF(H24="حرج","عالية",IF(H24="قريب","متوسطة","منخفضة"))))</f>
        <v>مراجعة مطلوبة</v>
      </c>
      <c r="J24" s="12" t="s">
        <v>21</v>
      </c>
      <c r="K24" s="12" t="s">
        <v>147</v>
      </c>
    </row>
    <row r="25" customFormat="false" ht="14.25" hidden="false" customHeight="true" outlineLevel="0" collapsed="false">
      <c r="A25" s="12" t="s">
        <v>71</v>
      </c>
      <c r="B25" s="12" t="s">
        <v>72</v>
      </c>
      <c r="C25" s="12" t="s">
        <v>78</v>
      </c>
      <c r="D25" s="12" t="s">
        <v>148</v>
      </c>
      <c r="E25" s="11" t="n">
        <v>46215</v>
      </c>
      <c r="F25" s="6" t="n">
        <f aca="false">Tracker_All[[#This Row],[تاريخ الانتهاء]]-TODAY()</f>
        <v>39</v>
      </c>
      <c r="G25" s="5" t="n">
        <f aca="false">IF(E25="","",E25-30)</f>
        <v>46185</v>
      </c>
      <c r="H25" s="7" t="str">
        <f aca="false">IF(E25="","بدون تاريخ",IF(F25&lt;0,"منتهي",IF(F25&lt;=30,"حرج",IF(F25&lt;=60,"قريب","ساري"))))</f>
        <v>قريب</v>
      </c>
      <c r="I25" s="7" t="str">
        <f aca="false">IF(H25="بدون تاريخ","مراجعة مطلوبة",IF(H25="منتهي","عالية",IF(H25="حرج","عالية",IF(H25="قريب","متوسطة","منخفضة"))))</f>
        <v>متوسطة</v>
      </c>
      <c r="J25" s="12" t="s">
        <v>75</v>
      </c>
      <c r="K25" s="12" t="s">
        <v>76</v>
      </c>
    </row>
    <row r="26" customFormat="false" ht="14.25" hidden="false" customHeight="true" outlineLevel="0" collapsed="false">
      <c r="A26" s="12" t="s">
        <v>18</v>
      </c>
      <c r="B26" s="12" t="s">
        <v>144</v>
      </c>
      <c r="C26" s="12" t="s">
        <v>145</v>
      </c>
      <c r="D26" s="12" t="s">
        <v>146</v>
      </c>
      <c r="E26" s="12"/>
      <c r="F26" s="13"/>
      <c r="G26" s="5" t="str">
        <f aca="false">IF(E26="","",E26-30)</f>
        <v/>
      </c>
      <c r="H26" s="7" t="str">
        <f aca="false">IF(E26="","بدون تاريخ",IF(F26&lt;0,"منتهي",IF(F26&lt;=30,"حرج",IF(F26&lt;=60,"قريب","ساري"))))</f>
        <v>بدون تاريخ</v>
      </c>
      <c r="I26" s="7" t="str">
        <f aca="false">IF(H26="بدون تاريخ","مراجعة مطلوبة",IF(H26="منتهي","عالية",IF(H26="حرج","عالية",IF(H26="قريب","متوسطة","منخفضة"))))</f>
        <v>مراجعة مطلوبة</v>
      </c>
      <c r="J26" s="12" t="s">
        <v>21</v>
      </c>
      <c r="K26" s="12" t="s">
        <v>147</v>
      </c>
    </row>
    <row r="27" customFormat="false" ht="14.25" hidden="false" customHeight="true" outlineLevel="0" collapsed="false">
      <c r="A27" s="7" t="s">
        <v>18</v>
      </c>
      <c r="B27" s="7" t="s">
        <v>149</v>
      </c>
      <c r="C27" s="7" t="s">
        <v>150</v>
      </c>
      <c r="D27" s="7" t="s">
        <v>150</v>
      </c>
      <c r="E27" s="11" t="n">
        <v>46398</v>
      </c>
      <c r="F27" s="6" t="n">
        <f aca="true">E27-TODAY()</f>
        <v>222</v>
      </c>
      <c r="G27" s="5" t="n">
        <f aca="false">IF(E27="","",E27-30)</f>
        <v>46368</v>
      </c>
      <c r="H27" s="7" t="str">
        <f aca="false">IF(E27="","بدون تاريخ",IF(F27&lt;0,"منتهي",IF(F27&lt;=30,"حرج",IF(F27&lt;=60,"قريب","ساري"))))</f>
        <v>ساري</v>
      </c>
      <c r="I27" s="7" t="str">
        <f aca="false">IF(H27="بدون تاريخ","مراجعة مطلوبة",IF(H27="منتهي","عالية",IF(H27="حرج","عالية",IF(H27="قريب","متوسطة","منخفضة"))))</f>
        <v>منخفضة</v>
      </c>
      <c r="J27" s="7" t="s">
        <v>21</v>
      </c>
      <c r="K27" s="7" t="s">
        <v>32</v>
      </c>
    </row>
    <row r="28" customFormat="false" ht="14.25" hidden="false" customHeight="true" outlineLevel="0" collapsed="false">
      <c r="A28" s="9" t="s">
        <v>18</v>
      </c>
      <c r="B28" s="9" t="s">
        <v>81</v>
      </c>
      <c r="C28" s="9" t="s">
        <v>82</v>
      </c>
      <c r="D28" s="9" t="s">
        <v>151</v>
      </c>
      <c r="E28" s="10" t="n">
        <v>46526</v>
      </c>
      <c r="F28" s="6" t="n">
        <f aca="true">E28-TODAY()</f>
        <v>350</v>
      </c>
      <c r="G28" s="5" t="n">
        <f aca="false">IF(E28="","",E28-30)</f>
        <v>46496</v>
      </c>
      <c r="H28" s="14" t="str">
        <f aca="false">IF(E28="","بدون تاريخ",IF(F28&lt;0,"منتهي",IF(F28&lt;=30,"حرج",IF(F28&lt;=60,"قريب","ساري"))))</f>
        <v>ساري</v>
      </c>
      <c r="I28" s="14" t="str">
        <f aca="false">IF(H28="بدون تاريخ","مراجعة مطلوبة",IF(H28="منتهي","عالية",IF(H28="حرج","عالية",IF(H28="قريب","متوسطة","منخفضة"))))</f>
        <v>منخفضة</v>
      </c>
      <c r="J28" s="9" t="s">
        <v>21</v>
      </c>
      <c r="K28" s="9" t="s">
        <v>32</v>
      </c>
      <c r="L28" s="8" t="s">
        <v>84</v>
      </c>
      <c r="M28" s="8" t="s">
        <v>85</v>
      </c>
      <c r="N28" s="8" t="s">
        <v>152</v>
      </c>
      <c r="O28" s="1" t="s">
        <v>87</v>
      </c>
      <c r="P28" s="1" t="s">
        <v>153</v>
      </c>
      <c r="Q28" s="1" t="s">
        <v>27</v>
      </c>
      <c r="R28" s="8" t="s">
        <v>136</v>
      </c>
    </row>
    <row r="29" customFormat="false" ht="14.25" hidden="false" customHeight="false" outlineLevel="0" collapsed="false">
      <c r="A29" s="8" t="s">
        <v>18</v>
      </c>
      <c r="B29" s="1" t="s">
        <v>154</v>
      </c>
      <c r="C29" s="1" t="s">
        <v>20</v>
      </c>
      <c r="D29" s="1" t="s">
        <v>155</v>
      </c>
      <c r="G29" s="1" t="str">
        <f aca="false">IF(E29="","",E29-30)</f>
        <v/>
      </c>
      <c r="H29" s="1" t="str">
        <f aca="false">IF(E29="","بدون تاريخ",IF(F29&lt;0,"منتهي",IF(F29&lt;=30,"حرج",IF(F29&lt;=60,"قريب","ساري"))))</f>
        <v>بدون تاريخ</v>
      </c>
      <c r="I29" s="1" t="str">
        <f aca="false">IF(H29="بدون تاريخ","مراجعة مطلوبة",IF(H29="منتهي","عالية",IF(H29="حرج","عالية",IF(H29="قريب","متوسطة","منخفضة"))))</f>
        <v>مراجعة مطلوبة</v>
      </c>
      <c r="J29" s="1" t="s">
        <v>21</v>
      </c>
      <c r="K29" s="1" t="s">
        <v>32</v>
      </c>
      <c r="L29" s="8" t="s">
        <v>156</v>
      </c>
      <c r="M29" s="8" t="s">
        <v>23</v>
      </c>
      <c r="N29" s="8" t="s">
        <v>157</v>
      </c>
      <c r="O29" s="1" t="s">
        <v>158</v>
      </c>
      <c r="P29" s="1" t="s">
        <v>159</v>
      </c>
      <c r="Q29" s="1" t="s">
        <v>27</v>
      </c>
      <c r="R29" s="1" t="s">
        <v>160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60"/>
  </cols>
  <sheetData>
    <row r="1" customFormat="false" ht="14.25" hidden="false" customHeight="true" outlineLevel="0" collapsed="false">
      <c r="A1" s="15"/>
      <c r="B1" s="16"/>
    </row>
    <row r="2" customFormat="false" ht="14.25" hidden="false" customHeight="true" outlineLevel="0" collapsed="false">
      <c r="A2" s="15"/>
      <c r="B2" s="17" t="s">
        <v>161</v>
      </c>
    </row>
    <row r="3" customFormat="false" ht="14.25" hidden="false" customHeight="true" outlineLevel="0" collapsed="false">
      <c r="A3" s="15"/>
      <c r="B3" s="16"/>
    </row>
    <row r="4" customFormat="false" ht="14.25" hidden="false" customHeight="true" outlineLevel="0" collapsed="false">
      <c r="A4" s="15" t="s">
        <v>162</v>
      </c>
      <c r="B4" s="16" t="s">
        <v>163</v>
      </c>
    </row>
    <row r="5" customFormat="false" ht="14.25" hidden="false" customHeight="true" outlineLevel="0" collapsed="false">
      <c r="A5" s="15" t="s">
        <v>164</v>
      </c>
      <c r="B5" s="16" t="s">
        <v>165</v>
      </c>
    </row>
    <row r="6" customFormat="false" ht="14.25" hidden="false" customHeight="true" outlineLevel="0" collapsed="false">
      <c r="A6" s="15" t="s">
        <v>166</v>
      </c>
      <c r="B6" s="16" t="s">
        <v>167</v>
      </c>
    </row>
    <row r="7" customFormat="false" ht="14.25" hidden="false" customHeight="true" outlineLevel="0" collapsed="false">
      <c r="A7" s="15" t="s">
        <v>168</v>
      </c>
      <c r="B7" s="16" t="s">
        <v>169</v>
      </c>
    </row>
    <row r="8" customFormat="false" ht="14.25" hidden="false" customHeight="true" outlineLevel="0" collapsed="false">
      <c r="A8" s="15" t="s">
        <v>170</v>
      </c>
      <c r="B8" s="16" t="s">
        <v>171</v>
      </c>
    </row>
    <row r="9" customFormat="false" ht="14.25" hidden="false" customHeight="true" outlineLevel="0" collapsed="false">
      <c r="A9" s="15"/>
      <c r="B9" s="16"/>
    </row>
    <row r="10" customFormat="false" ht="14.25" hidden="false" customHeight="true" outlineLevel="0" collapsed="false">
      <c r="A10" s="15"/>
      <c r="B10" s="18" t="s">
        <v>172</v>
      </c>
    </row>
    <row r="11" customFormat="false" ht="14.25" hidden="false" customHeight="true" outlineLevel="0" collapsed="false">
      <c r="A11" s="15"/>
      <c r="B11" s="16"/>
    </row>
    <row r="12" customFormat="false" ht="14.25" hidden="false" customHeight="true" outlineLevel="0" collapsed="false">
      <c r="A12" s="15"/>
      <c r="B12" s="18" t="s">
        <v>173</v>
      </c>
    </row>
    <row r="13" customFormat="false" ht="14.25" hidden="false" customHeight="true" outlineLevel="0" collapsed="false">
      <c r="A13" s="15"/>
      <c r="B13" s="16"/>
    </row>
    <row r="14" customFormat="false" ht="14.25" hidden="false" customHeight="true" outlineLevel="0" collapsed="false">
      <c r="A14" s="15"/>
      <c r="B14" s="18" t="s">
        <v>174</v>
      </c>
    </row>
    <row r="15" customFormat="false" ht="14.25" hidden="false" customHeight="true" outlineLevel="0" collapsed="false">
      <c r="A15" s="15"/>
      <c r="B15" s="16"/>
    </row>
    <row r="16" customFormat="false" ht="14.25" hidden="false" customHeight="true" outlineLevel="0" collapsed="false">
      <c r="A16" s="15"/>
      <c r="B16" s="18" t="s">
        <v>175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2026-06-02T09:46:17Z</dcterms:created>
  <dc:creator>openpyxl</dc:creator>
  <dc:description/>
  <dc:language>en-US</dc:language>
  <cp:lastModifiedBy>Hamad Alzaben</cp:lastModifiedBy>
  <dcterms:modified xsi:type="dcterms:W3CDTF">2026-06-03T11:44:30Z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