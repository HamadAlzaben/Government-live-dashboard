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ALZABEN\Downloads\"/>
    </mc:Choice>
  </mc:AlternateContent>
  <xr:revisionPtr revIDLastSave="0" documentId="13_ncr:1_{05590D04-8CEE-41AB-87C1-255C45D28C96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Tracker_All" sheetId="1" r:id="rId1"/>
    <sheet name="README_PowerBI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9" i="1" l="1"/>
  <c r="G29" i="1"/>
  <c r="G28" i="1"/>
  <c r="F28" i="1"/>
  <c r="G27" i="1"/>
  <c r="F27" i="1"/>
  <c r="H26" i="1"/>
  <c r="G26" i="1"/>
  <c r="G25" i="1"/>
  <c r="F25" i="1"/>
  <c r="I24" i="1"/>
  <c r="H24" i="1"/>
  <c r="G24" i="1"/>
  <c r="H23" i="1"/>
  <c r="G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H2" i="1"/>
  <c r="G2" i="1"/>
  <c r="F2" i="1"/>
  <c r="I29" i="1" l="1"/>
  <c r="H27" i="1"/>
  <c r="I27" i="1" s="1"/>
  <c r="I26" i="1"/>
  <c r="H15" i="1"/>
  <c r="I15" i="1" s="1"/>
  <c r="H14" i="1"/>
  <c r="I14" i="1" s="1"/>
  <c r="H13" i="1"/>
  <c r="I13" i="1" s="1"/>
  <c r="H12" i="1"/>
  <c r="I12" i="1" s="1"/>
  <c r="H28" i="1"/>
  <c r="I28" i="1" s="1"/>
  <c r="H25" i="1"/>
  <c r="I25" i="1" s="1"/>
  <c r="I23" i="1"/>
  <c r="H20" i="1"/>
  <c r="I20" i="1" s="1"/>
  <c r="H19" i="1"/>
  <c r="I19" i="1" s="1"/>
  <c r="H18" i="1"/>
  <c r="I18" i="1" s="1"/>
  <c r="H22" i="1"/>
  <c r="I22" i="1" s="1"/>
  <c r="H21" i="1"/>
  <c r="I21" i="1" s="1"/>
  <c r="H17" i="1"/>
  <c r="I17" i="1" s="1"/>
  <c r="H16" i="1"/>
  <c r="I16" i="1" s="1"/>
  <c r="H3" i="1"/>
  <c r="I3" i="1" s="1"/>
  <c r="H11" i="1"/>
  <c r="I11" i="1" s="1"/>
  <c r="H9" i="1"/>
  <c r="I9" i="1" s="1"/>
  <c r="H8" i="1"/>
  <c r="I8" i="1" s="1"/>
  <c r="H7" i="1"/>
  <c r="I7" i="1" s="1"/>
  <c r="H4" i="1"/>
  <c r="I4" i="1" s="1"/>
  <c r="H10" i="1"/>
  <c r="I10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<sst xmlns="http://schemas.openxmlformats.org/spreadsheetml/2006/main" count="293" uniqueCount="177">
  <si>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</si>
  <si>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</si>
  <si>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</si>
  <si>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</si>
  <si>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</si>
  <si>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</si>
  <si>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</si>
  <si>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</si>
  <si>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</si>
  <si>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</si>
  <si>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</si>
  <si>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</si>
  <si>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</si>
  <si>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</si>
  <si>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</si>
  <si>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</si>
  <si>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</si>
  <si>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</si>
  <si>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</si>
  <si>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</si>
  <si>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</si>
  <si>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</si>
  <si>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</si>
  <si>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</si>
  <si>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</si>
  <si>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</si>
  <si>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</si>
  <si>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</si>
  <si>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</si>
  <si>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</si>
  <si>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</si>
  <si>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</si>
  <si>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</si>
  <si>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</si>
  <si>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</si>
  <si>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</si>
  <si>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</si>
  <si>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t>Nationalization-CR32-7029908865.pdf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</si>
  <si>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</si>
  <si>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</si>
  <si>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256343-19899920</t>
    </r>
  </si>
  <si>
    <t>18/12/2025</t>
  </si>
  <si>
    <t>Nationalization-CR42-7033766317.pdf</t>
  </si>
  <si>
    <t>CR42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</si>
  <si>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</si>
  <si>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</si>
  <si>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</si>
  <si>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</si>
  <si>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</si>
  <si>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</si>
  <si>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</si>
  <si>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</si>
  <si>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</si>
  <si>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</si>
  <si>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</si>
  <si>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</si>
  <si>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</si>
  <si>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</si>
  <si>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</si>
  <si>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</si>
  <si>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</si>
  <si>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</si>
  <si>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</si>
  <si>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</si>
  <si>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</si>
  <si>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</si>
  <si>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</si>
  <si>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</si>
  <si>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</si>
  <si>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</si>
  <si>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</si>
  <si>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</si>
  <si>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</si>
  <si>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كريم اسامه محمد سالم</t>
  </si>
  <si>
    <t>تأشيرة كريم اسامه محمد سالم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</si>
  <si>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</si>
  <si>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</si>
  <si>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</si>
  <si>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</si>
  <si>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</si>
  <si>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</si>
  <si>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</si>
  <si>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</si>
  <si>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</si>
  <si>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</si>
  <si>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</si>
  <si>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</si>
  <si>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</si>
  <si>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</si>
  <si>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</si>
  <si>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</si>
  <si>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</si>
  <si>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ساري سعيد تعمري القيسي</t>
  </si>
  <si>
    <t>تأشيرة ساري سعيد تعمري القيسي</t>
  </si>
  <si>
    <t>حالة التأشيرة:  مستعمل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</si>
  <si>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</si>
  <si>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</si>
  <si>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</si>
  <si>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</si>
  <si>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r>
      <rPr>
        <sz val="11"/>
        <color theme="1"/>
        <rFont val="FreeSans"/>
        <family val="2"/>
      </rPr>
      <t>رمز الشهادة</t>
    </r>
    <r>
      <rPr>
        <sz val="11"/>
        <color theme="1"/>
        <rFont val="Calibri"/>
        <charset val="1"/>
      </rPr>
      <t>: 112057702</t>
    </r>
  </si>
  <si>
    <t>11/04/2026</t>
  </si>
  <si>
    <t>GOSI.pdf</t>
  </si>
  <si>
    <r>
      <rPr>
        <sz val="11"/>
        <color theme="1"/>
        <rFont val="FreeSans"/>
        <family val="2"/>
      </rPr>
      <t>رقم الاشتراك</t>
    </r>
    <r>
      <rPr>
        <sz val="11"/>
        <color theme="1"/>
        <rFont val="Calibri"/>
        <charset val="1"/>
      </rPr>
      <t xml:space="preserve">: 638909642 · 10 </t>
    </r>
    <r>
      <rPr>
        <sz val="11"/>
        <color theme="1"/>
        <rFont val="FreeSans"/>
        <family val="2"/>
      </rPr>
      <t>مشتركين</t>
    </r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</si>
  <si>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</si>
  <si>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</si>
  <si>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</si>
  <si>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</si>
  <si>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</si>
  <si>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</si>
  <si>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</si>
  <si>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</si>
  <si>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r>
      <rPr>
        <sz val="11"/>
        <color theme="1"/>
        <rFont val="FreeSans"/>
        <family val="2"/>
      </rPr>
      <t>رقم الإثبات</t>
    </r>
    <r>
      <rPr>
        <sz val="11"/>
        <color theme="1"/>
        <rFont val="Calibri"/>
        <charset val="1"/>
      </rPr>
      <t>: 1080130933</t>
    </r>
  </si>
  <si>
    <t>3/2/2026</t>
  </si>
  <si>
    <t>Meirc National Address updated Feb 2026.pdf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</si>
  <si>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</si>
  <si>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إقامة ساري سعيد تعمري القيسي</t>
  </si>
  <si>
    <t>رقم الإقامة: 2555700976</t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</si>
  <si>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</si>
  <si>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</si>
  <si>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</si>
  <si>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</si>
  <si>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</si>
  <si>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</si>
  <si>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</si>
  <si>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</si>
  <si>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</si>
  <si>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</si>
  <si>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</si>
  <si>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</si>
  <si>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</si>
  <si>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</si>
  <si>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</si>
  <si>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</si>
  <si>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</si>
  <si>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</si>
  <si>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</si>
  <si>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</si>
  <si>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كريم اسامه محمد سالم</t>
  </si>
  <si>
    <t>رقم الإقامة: 2570814836</t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</si>
  <si>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</si>
  <si>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</si>
  <si>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</si>
  <si>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</si>
  <si>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</si>
  <si>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</si>
  <si>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</si>
  <si>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</si>
  <si>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</si>
  <si>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</si>
  <si>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</si>
  <si>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</si>
  <si>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</si>
  <si>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</si>
  <si>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</si>
  <si>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Tax Residency Certificate</t>
  </si>
  <si>
    <t>Tax Residency – CR32</t>
  </si>
  <si>
    <t>شهادة الإقامة الضريبية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</si>
  <si>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100261168150256</t>
    </r>
  </si>
  <si>
    <t>07/04/2026</t>
  </si>
  <si>
    <t>Tax-Residency-ZATCA.pdf</t>
  </si>
  <si>
    <r>
      <rPr>
        <sz val="11"/>
        <color theme="1"/>
        <rFont val="Calibri"/>
        <charset val="1"/>
      </rPr>
      <t xml:space="preserve">CR: 1010813032 · TIN: 3116554691 · </t>
    </r>
    <r>
      <rPr>
        <sz val="11"/>
        <color theme="1"/>
        <rFont val="FreeSans"/>
        <family val="2"/>
      </rPr>
      <t xml:space="preserve">صالح لعام </t>
    </r>
    <r>
      <rPr>
        <sz val="11"/>
        <color theme="1"/>
        <rFont val="Calibri"/>
        <charset val="1"/>
      </rPr>
      <t>2026</t>
    </r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</si>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</sst>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5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"/>
  <sheetViews>
    <sheetView tabSelected="1" topLeftCell="C1" zoomScale="85" zoomScaleNormal="85" workbookViewId="0">
      <selection activeCell="E14" sqref="E14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311</v>
      </c>
      <c r="G2" s="4">
        <f t="shared" ref="G2:G29" si="0">IF(E2="","",E2-30)</f>
        <v>46477</v>
      </c>
      <c r="H2" s="6" t="str">
        <f t="shared" ref="H2:H29" ca="1" si="1">IF(E2="","بدون تاريخ",IF(F2&lt;0,"منتهي",IF(F2&lt;=30,"حرج",IF(F2&lt;=60,"قريب","ساري"))))</f>
        <v>ساري</v>
      </c>
      <c r="I2" s="6" t="str">
        <f t="shared" ref="I2:I29" ca="1" si="2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46239</v>
      </c>
      <c r="F3" s="5">
        <f ca="1">Tracker_All[[#This Row],[تاريخ الانتهاء]]-TODAY()</f>
        <v>43</v>
      </c>
      <c r="G3" s="4">
        <f t="shared" si="0"/>
        <v>46209</v>
      </c>
      <c r="H3" s="6" t="str">
        <f t="shared" ca="1" si="1"/>
        <v>قريب</v>
      </c>
      <c r="I3" s="6" t="str">
        <f t="shared" ca="1" si="2"/>
        <v>متوسطة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37</v>
      </c>
      <c r="Q3" t="s">
        <v>27</v>
      </c>
      <c r="R3" s="7" t="s">
        <v>38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39</v>
      </c>
      <c r="E4" s="4">
        <v>46235</v>
      </c>
      <c r="F4" s="5">
        <f ca="1">Tracker_All[[#This Row],[تاريخ الانتهاء]]-TODAY()</f>
        <v>39</v>
      </c>
      <c r="G4" s="4">
        <f t="shared" si="0"/>
        <v>46205</v>
      </c>
      <c r="H4" s="6" t="str">
        <f t="shared" ca="1" si="1"/>
        <v>قريب</v>
      </c>
      <c r="I4" s="6" t="str">
        <f t="shared" ca="1" si="2"/>
        <v>متوسطة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40</v>
      </c>
      <c r="O4" t="s">
        <v>41</v>
      </c>
      <c r="P4" t="s">
        <v>42</v>
      </c>
      <c r="Q4" t="s">
        <v>43</v>
      </c>
      <c r="R4" s="7" t="s">
        <v>44</v>
      </c>
    </row>
    <row r="5" spans="1:18" ht="14.25" customHeight="1">
      <c r="A5" s="3" t="s">
        <v>18</v>
      </c>
      <c r="B5" s="3" t="s">
        <v>45</v>
      </c>
      <c r="C5" s="3" t="s">
        <v>46</v>
      </c>
      <c r="D5" s="3" t="s">
        <v>47</v>
      </c>
      <c r="E5" s="4">
        <v>46532</v>
      </c>
      <c r="F5" s="5">
        <f ca="1">Tracker_All[[#This Row],[تاريخ الانتهاء]]-TODAY()</f>
        <v>336</v>
      </c>
      <c r="G5" s="4">
        <f t="shared" si="0"/>
        <v>46502</v>
      </c>
      <c r="H5" s="6" t="str">
        <f t="shared" ca="1" si="1"/>
        <v>ساري</v>
      </c>
      <c r="I5" s="6" t="str">
        <f t="shared" ca="1" si="2"/>
        <v>منخفضة</v>
      </c>
      <c r="J5" s="3" t="s">
        <v>21</v>
      </c>
      <c r="K5" s="3" t="s">
        <v>32</v>
      </c>
      <c r="L5" s="7" t="s">
        <v>48</v>
      </c>
      <c r="M5" s="7" t="s">
        <v>49</v>
      </c>
      <c r="N5" s="7" t="s">
        <v>50</v>
      </c>
      <c r="O5" t="s">
        <v>51</v>
      </c>
      <c r="P5" t="s">
        <v>52</v>
      </c>
      <c r="Q5" t="s">
        <v>27</v>
      </c>
      <c r="R5" t="s">
        <v>53</v>
      </c>
    </row>
    <row r="6" spans="1:18" ht="24.75" customHeight="1">
      <c r="A6" s="3" t="s">
        <v>18</v>
      </c>
      <c r="B6" s="3" t="s">
        <v>54</v>
      </c>
      <c r="C6" s="3" t="s">
        <v>55</v>
      </c>
      <c r="D6" s="3" t="s">
        <v>56</v>
      </c>
      <c r="E6" s="4">
        <v>46532</v>
      </c>
      <c r="F6" s="5">
        <f ca="1">Tracker_All[[#This Row],[تاريخ الانتهاء]]-TODAY()</f>
        <v>336</v>
      </c>
      <c r="G6" s="4">
        <f t="shared" si="0"/>
        <v>46502</v>
      </c>
      <c r="H6" s="6" t="str">
        <f t="shared" ca="1" si="1"/>
        <v>ساري</v>
      </c>
      <c r="I6" s="6" t="str">
        <f t="shared" ca="1" si="2"/>
        <v>منخفضة</v>
      </c>
      <c r="J6" s="3" t="s">
        <v>21</v>
      </c>
      <c r="K6" s="3" t="s">
        <v>57</v>
      </c>
      <c r="L6" s="7" t="s">
        <v>58</v>
      </c>
      <c r="M6" s="7" t="s">
        <v>59</v>
      </c>
      <c r="N6" s="7" t="s">
        <v>60</v>
      </c>
      <c r="O6" t="s">
        <v>61</v>
      </c>
      <c r="P6" t="s">
        <v>62</v>
      </c>
      <c r="Q6" t="s">
        <v>27</v>
      </c>
      <c r="R6" s="7" t="s">
        <v>63</v>
      </c>
    </row>
    <row r="7" spans="1:18" ht="14.25" customHeight="1">
      <c r="A7" s="3" t="s">
        <v>18</v>
      </c>
      <c r="B7" s="3" t="s">
        <v>64</v>
      </c>
      <c r="C7" s="3" t="s">
        <v>65</v>
      </c>
      <c r="D7" s="3" t="s">
        <v>65</v>
      </c>
      <c r="E7" s="4">
        <v>46951</v>
      </c>
      <c r="F7" s="5">
        <f ca="1">Tracker_All[[#This Row],[تاريخ الانتهاء]]-TODAY()</f>
        <v>755</v>
      </c>
      <c r="G7" s="4">
        <f t="shared" si="0"/>
        <v>46921</v>
      </c>
      <c r="H7" s="6" t="str">
        <f t="shared" ca="1" si="1"/>
        <v>ساري</v>
      </c>
      <c r="I7" s="6" t="str">
        <f t="shared" ca="1" si="2"/>
        <v>منخفضة</v>
      </c>
      <c r="J7" s="3" t="s">
        <v>21</v>
      </c>
      <c r="K7" s="3"/>
      <c r="L7" s="7" t="s">
        <v>66</v>
      </c>
      <c r="M7" s="7" t="s">
        <v>67</v>
      </c>
      <c r="N7" s="7" t="s">
        <v>68</v>
      </c>
      <c r="P7" t="s">
        <v>69</v>
      </c>
      <c r="Q7" t="s">
        <v>43</v>
      </c>
      <c r="R7" s="7" t="s">
        <v>70</v>
      </c>
    </row>
    <row r="8" spans="1:18" ht="14.25" customHeight="1">
      <c r="A8" s="8" t="s">
        <v>71</v>
      </c>
      <c r="B8" s="8" t="s">
        <v>72</v>
      </c>
      <c r="C8" s="8" t="s">
        <v>73</v>
      </c>
      <c r="D8" s="8" t="s">
        <v>74</v>
      </c>
      <c r="E8" s="9">
        <v>46216</v>
      </c>
      <c r="F8" s="5">
        <f ca="1">Tracker_All[[#This Row],[تاريخ الانتهاء]]-TODAY()</f>
        <v>20</v>
      </c>
      <c r="G8" s="4">
        <f t="shared" si="0"/>
        <v>46186</v>
      </c>
      <c r="H8" s="6" t="str">
        <f t="shared" ca="1" si="1"/>
        <v>حرج</v>
      </c>
      <c r="I8" s="6" t="str">
        <f t="shared" ca="1" si="2"/>
        <v>عالية</v>
      </c>
      <c r="J8" s="8" t="s">
        <v>75</v>
      </c>
      <c r="K8" s="8" t="s">
        <v>76</v>
      </c>
    </row>
    <row r="9" spans="1:18" ht="14.25" customHeight="1">
      <c r="A9" s="8" t="s">
        <v>71</v>
      </c>
      <c r="B9" s="8" t="s">
        <v>77</v>
      </c>
      <c r="C9" s="8" t="s">
        <v>78</v>
      </c>
      <c r="D9" s="8" t="s">
        <v>79</v>
      </c>
      <c r="E9" s="9">
        <v>46529</v>
      </c>
      <c r="F9" s="5">
        <f ca="1">Tracker_All[[#This Row],[تاريخ الانتهاء]]-TODAY()</f>
        <v>333</v>
      </c>
      <c r="G9" s="4">
        <f t="shared" si="0"/>
        <v>46499</v>
      </c>
      <c r="H9" s="6" t="str">
        <f t="shared" ca="1" si="1"/>
        <v>ساري</v>
      </c>
      <c r="I9" s="6" t="str">
        <f t="shared" ca="1" si="2"/>
        <v>منخفضة</v>
      </c>
      <c r="J9" s="8" t="s">
        <v>75</v>
      </c>
      <c r="K9" s="8" t="s">
        <v>80</v>
      </c>
    </row>
    <row r="10" spans="1:18" ht="14.25" customHeight="1">
      <c r="A10" s="8" t="s">
        <v>18</v>
      </c>
      <c r="B10" s="8" t="s">
        <v>81</v>
      </c>
      <c r="C10" s="8" t="s">
        <v>82</v>
      </c>
      <c r="D10" s="8" t="s">
        <v>83</v>
      </c>
      <c r="E10" s="9">
        <v>46526</v>
      </c>
      <c r="F10" s="5">
        <f ca="1">Tracker_All[[#This Row],[تاريخ الانتهاء]]-TODAY()</f>
        <v>330</v>
      </c>
      <c r="G10" s="4">
        <f t="shared" si="0"/>
        <v>46496</v>
      </c>
      <c r="H10" s="6" t="str">
        <f t="shared" ca="1" si="1"/>
        <v>ساري</v>
      </c>
      <c r="I10" s="6" t="str">
        <f t="shared" ca="1" si="2"/>
        <v>منخفضة</v>
      </c>
      <c r="J10" s="8" t="s">
        <v>21</v>
      </c>
      <c r="K10" s="8" t="s">
        <v>32</v>
      </c>
      <c r="L10" s="7" t="s">
        <v>84</v>
      </c>
      <c r="M10" s="7" t="s">
        <v>85</v>
      </c>
      <c r="N10" s="7" t="s">
        <v>86</v>
      </c>
      <c r="O10" t="s">
        <v>87</v>
      </c>
      <c r="P10" t="s">
        <v>88</v>
      </c>
      <c r="Q10" t="s">
        <v>43</v>
      </c>
      <c r="R10" s="7" t="s">
        <v>89</v>
      </c>
    </row>
    <row r="11" spans="1:18" ht="14.25" customHeight="1">
      <c r="A11" s="8" t="s">
        <v>71</v>
      </c>
      <c r="B11" s="8" t="s">
        <v>72</v>
      </c>
      <c r="C11" s="8" t="s">
        <v>90</v>
      </c>
      <c r="D11" s="8" t="s">
        <v>91</v>
      </c>
      <c r="E11" s="9">
        <v>46245</v>
      </c>
      <c r="F11" s="5">
        <f ca="1">Tracker_All[[#This Row],[تاريخ الانتهاء]]-TODAY()</f>
        <v>49</v>
      </c>
      <c r="G11" s="4">
        <f t="shared" si="0"/>
        <v>46215</v>
      </c>
      <c r="H11" s="6" t="str">
        <f t="shared" ca="1" si="1"/>
        <v>قريب</v>
      </c>
      <c r="I11" s="6" t="str">
        <f t="shared" ca="1" si="2"/>
        <v>متوسطة</v>
      </c>
      <c r="J11" s="8" t="s">
        <v>75</v>
      </c>
      <c r="K11" s="8" t="s">
        <v>76</v>
      </c>
    </row>
    <row r="12" spans="1:18" ht="14.25" customHeight="1">
      <c r="A12" s="6" t="s">
        <v>71</v>
      </c>
      <c r="B12" s="6" t="s">
        <v>72</v>
      </c>
      <c r="C12" s="6" t="s">
        <v>92</v>
      </c>
      <c r="D12" s="6" t="s">
        <v>93</v>
      </c>
      <c r="E12" s="10">
        <v>46232</v>
      </c>
      <c r="F12" s="5">
        <f ca="1">Tracker_All[[#This Row],[تاريخ الانتهاء]]-TODAY()</f>
        <v>36</v>
      </c>
      <c r="G12" s="4">
        <f t="shared" si="0"/>
        <v>46202</v>
      </c>
      <c r="H12" s="6" t="str">
        <f t="shared" ca="1" si="1"/>
        <v>قريب</v>
      </c>
      <c r="I12" s="6" t="str">
        <f t="shared" ca="1" si="2"/>
        <v>متوسطة</v>
      </c>
      <c r="J12" s="6" t="s">
        <v>75</v>
      </c>
      <c r="K12" s="6" t="s">
        <v>94</v>
      </c>
    </row>
    <row r="13" spans="1:18" ht="14.25" customHeight="1">
      <c r="A13" s="6" t="s">
        <v>18</v>
      </c>
      <c r="B13" s="6" t="s">
        <v>95</v>
      </c>
      <c r="C13" s="6" t="s">
        <v>96</v>
      </c>
      <c r="D13" s="6" t="s">
        <v>176</v>
      </c>
      <c r="E13" s="10">
        <v>46284</v>
      </c>
      <c r="F13" s="5">
        <f ca="1">Tracker_All[[#This Row],[تاريخ الانتهاء]]-TODAY()</f>
        <v>88</v>
      </c>
      <c r="G13" s="4">
        <f t="shared" si="0"/>
        <v>46254</v>
      </c>
      <c r="H13" s="6" t="str">
        <f t="shared" ca="1" si="1"/>
        <v>ساري</v>
      </c>
      <c r="I13" s="6" t="str">
        <f t="shared" ca="1" si="2"/>
        <v>منخفضة</v>
      </c>
      <c r="J13" s="6" t="s">
        <v>21</v>
      </c>
      <c r="K13" s="6"/>
      <c r="L13" s="7" t="s">
        <v>97</v>
      </c>
      <c r="M13" s="7" t="s">
        <v>98</v>
      </c>
      <c r="N13" s="7" t="s">
        <v>99</v>
      </c>
      <c r="O13" t="s">
        <v>100</v>
      </c>
      <c r="P13" t="s">
        <v>101</v>
      </c>
      <c r="Q13" t="s">
        <v>43</v>
      </c>
      <c r="R13" s="7" t="s">
        <v>102</v>
      </c>
    </row>
    <row r="14" spans="1:18" ht="14.25" customHeight="1">
      <c r="A14" s="6" t="s">
        <v>71</v>
      </c>
      <c r="B14" s="6" t="s">
        <v>72</v>
      </c>
      <c r="C14" s="6" t="s">
        <v>103</v>
      </c>
      <c r="D14" s="6" t="s">
        <v>104</v>
      </c>
      <c r="E14" s="10">
        <v>46469</v>
      </c>
      <c r="F14" s="5">
        <f ca="1">Tracker_All[[#This Row],[تاريخ الانتهاء]]-TODAY()</f>
        <v>273</v>
      </c>
      <c r="G14" s="4">
        <f t="shared" si="0"/>
        <v>46439</v>
      </c>
      <c r="H14" s="6" t="str">
        <f t="shared" ca="1" si="1"/>
        <v>ساري</v>
      </c>
      <c r="I14" s="6" t="str">
        <f t="shared" ca="1" si="2"/>
        <v>منخفضة</v>
      </c>
      <c r="J14" s="6" t="s">
        <v>75</v>
      </c>
      <c r="K14" s="6" t="s">
        <v>105</v>
      </c>
    </row>
    <row r="15" spans="1:18" ht="14.25" customHeight="1">
      <c r="A15" s="6" t="s">
        <v>18</v>
      </c>
      <c r="B15" s="6" t="s">
        <v>106</v>
      </c>
      <c r="C15" s="6" t="s">
        <v>107</v>
      </c>
      <c r="D15" s="6" t="s">
        <v>108</v>
      </c>
      <c r="E15" s="10">
        <v>46235</v>
      </c>
      <c r="F15" s="5">
        <f ca="1">Tracker_All[[#This Row],[تاريخ الانتهاء]]-TODAY()</f>
        <v>39</v>
      </c>
      <c r="G15" s="4">
        <f t="shared" si="0"/>
        <v>46205</v>
      </c>
      <c r="H15" s="6" t="str">
        <f t="shared" ca="1" si="1"/>
        <v>قريب</v>
      </c>
      <c r="I15" s="6" t="str">
        <f t="shared" ca="1" si="2"/>
        <v>متوسطة</v>
      </c>
      <c r="J15" s="6" t="s">
        <v>21</v>
      </c>
      <c r="K15" s="6"/>
      <c r="L15" s="7" t="s">
        <v>109</v>
      </c>
      <c r="M15" s="7" t="s">
        <v>110</v>
      </c>
      <c r="N15" s="7" t="s">
        <v>111</v>
      </c>
      <c r="O15" t="s">
        <v>112</v>
      </c>
      <c r="P15" t="s">
        <v>113</v>
      </c>
      <c r="Q15" t="s">
        <v>43</v>
      </c>
      <c r="R15" t="s">
        <v>114</v>
      </c>
    </row>
    <row r="16" spans="1:18" ht="14.25" customHeight="1">
      <c r="A16" s="6" t="s">
        <v>71</v>
      </c>
      <c r="B16" s="6" t="s">
        <v>77</v>
      </c>
      <c r="C16" s="6" t="s">
        <v>92</v>
      </c>
      <c r="D16" s="6" t="s">
        <v>115</v>
      </c>
      <c r="E16" s="10">
        <v>46344</v>
      </c>
      <c r="F16" s="5">
        <f ca="1">Tracker_All[[#This Row],[تاريخ الانتهاء]]-TODAY()</f>
        <v>148</v>
      </c>
      <c r="G16" s="4">
        <f t="shared" si="0"/>
        <v>46314</v>
      </c>
      <c r="H16" s="6" t="str">
        <f t="shared" ca="1" si="1"/>
        <v>ساري</v>
      </c>
      <c r="I16" s="6" t="str">
        <f t="shared" ca="1" si="2"/>
        <v>منخفضة</v>
      </c>
      <c r="J16" s="6" t="s">
        <v>75</v>
      </c>
      <c r="K16" s="6" t="s">
        <v>116</v>
      </c>
    </row>
    <row r="17" spans="1:18" ht="14.25" customHeight="1">
      <c r="A17" s="6" t="s">
        <v>18</v>
      </c>
      <c r="B17" s="6" t="s">
        <v>45</v>
      </c>
      <c r="C17" s="6" t="s">
        <v>46</v>
      </c>
      <c r="D17" s="6" t="s">
        <v>117</v>
      </c>
      <c r="E17" s="10">
        <v>46391</v>
      </c>
      <c r="F17" s="5">
        <f ca="1">Tracker_All[[#This Row],[تاريخ الانتهاء]]-TODAY()</f>
        <v>195</v>
      </c>
      <c r="G17" s="4">
        <f t="shared" si="0"/>
        <v>46361</v>
      </c>
      <c r="H17" s="6" t="str">
        <f t="shared" ca="1" si="1"/>
        <v>ساري</v>
      </c>
      <c r="I17" s="6" t="str">
        <f t="shared" ca="1" si="2"/>
        <v>منخفضة</v>
      </c>
      <c r="J17" s="6" t="s">
        <v>21</v>
      </c>
      <c r="K17" s="6" t="s">
        <v>32</v>
      </c>
      <c r="L17" s="7" t="s">
        <v>48</v>
      </c>
      <c r="M17" s="7" t="s">
        <v>49</v>
      </c>
      <c r="N17" s="7" t="s">
        <v>118</v>
      </c>
      <c r="O17" t="s">
        <v>119</v>
      </c>
      <c r="P17" t="s">
        <v>120</v>
      </c>
      <c r="Q17" t="s">
        <v>43</v>
      </c>
      <c r="R17" t="s">
        <v>121</v>
      </c>
    </row>
    <row r="18" spans="1:18" ht="24.75" customHeight="1">
      <c r="A18" s="6" t="s">
        <v>18</v>
      </c>
      <c r="B18" s="6" t="s">
        <v>54</v>
      </c>
      <c r="C18" s="6" t="s">
        <v>55</v>
      </c>
      <c r="D18" s="6" t="s">
        <v>122</v>
      </c>
      <c r="E18" s="10">
        <v>46391</v>
      </c>
      <c r="F18" s="5">
        <f ca="1">Tracker_All[[#This Row],[تاريخ الانتهاء]]-TODAY()</f>
        <v>195</v>
      </c>
      <c r="G18" s="4">
        <f t="shared" si="0"/>
        <v>46361</v>
      </c>
      <c r="H18" s="6" t="str">
        <f t="shared" ca="1" si="1"/>
        <v>ساري</v>
      </c>
      <c r="I18" s="6" t="str">
        <f t="shared" ca="1" si="2"/>
        <v>منخفضة</v>
      </c>
      <c r="J18" s="6" t="s">
        <v>21</v>
      </c>
      <c r="K18" s="6" t="s">
        <v>57</v>
      </c>
      <c r="L18" s="7" t="s">
        <v>123</v>
      </c>
      <c r="M18" s="7" t="s">
        <v>59</v>
      </c>
      <c r="N18" s="7" t="s">
        <v>124</v>
      </c>
      <c r="O18" t="s">
        <v>125</v>
      </c>
      <c r="P18" t="s">
        <v>126</v>
      </c>
      <c r="Q18" t="s">
        <v>43</v>
      </c>
      <c r="R18" s="7" t="s">
        <v>127</v>
      </c>
    </row>
    <row r="19" spans="1:18" ht="14.25" customHeight="1">
      <c r="A19" s="6" t="s">
        <v>18</v>
      </c>
      <c r="B19" s="6" t="s">
        <v>128</v>
      </c>
      <c r="C19" s="6" t="s">
        <v>129</v>
      </c>
      <c r="D19" s="6" t="s">
        <v>130</v>
      </c>
      <c r="E19" s="10">
        <v>46396</v>
      </c>
      <c r="F19" s="5">
        <f ca="1">Tracker_All[[#This Row],[تاريخ الانتهاء]]-TODAY()</f>
        <v>200</v>
      </c>
      <c r="G19" s="4">
        <f t="shared" si="0"/>
        <v>46366</v>
      </c>
      <c r="H19" s="6" t="str">
        <f t="shared" ca="1" si="1"/>
        <v>ساري</v>
      </c>
      <c r="I19" s="6" t="str">
        <f t="shared" ca="1" si="2"/>
        <v>منخفضة</v>
      </c>
      <c r="J19" s="6" t="s">
        <v>21</v>
      </c>
      <c r="K19" s="6" t="s">
        <v>32</v>
      </c>
      <c r="L19" s="7" t="s">
        <v>131</v>
      </c>
      <c r="M19" s="7" t="s">
        <v>132</v>
      </c>
      <c r="N19" s="7" t="s">
        <v>133</v>
      </c>
      <c r="O19" t="s">
        <v>134</v>
      </c>
      <c r="P19" t="s">
        <v>135</v>
      </c>
      <c r="Q19" t="s">
        <v>27</v>
      </c>
      <c r="R19" s="7" t="s">
        <v>136</v>
      </c>
    </row>
    <row r="20" spans="1:18" ht="14.25" customHeight="1">
      <c r="A20" s="6" t="s">
        <v>71</v>
      </c>
      <c r="B20" s="6" t="s">
        <v>77</v>
      </c>
      <c r="C20" s="6" t="s">
        <v>73</v>
      </c>
      <c r="D20" s="6" t="s">
        <v>137</v>
      </c>
      <c r="E20" s="10">
        <v>46529</v>
      </c>
      <c r="F20" s="5">
        <f ca="1">Tracker_All[[#This Row],[تاريخ الانتهاء]]-TODAY()</f>
        <v>333</v>
      </c>
      <c r="G20" s="4">
        <f t="shared" si="0"/>
        <v>46499</v>
      </c>
      <c r="H20" s="6" t="str">
        <f t="shared" ca="1" si="1"/>
        <v>ساري</v>
      </c>
      <c r="I20" s="6" t="str">
        <f t="shared" ca="1" si="2"/>
        <v>منخفضة</v>
      </c>
      <c r="J20" s="6" t="s">
        <v>75</v>
      </c>
      <c r="K20" s="6" t="s">
        <v>138</v>
      </c>
    </row>
    <row r="21" spans="1:18" ht="14.25" customHeight="1">
      <c r="A21" s="6" t="s">
        <v>71</v>
      </c>
      <c r="B21" s="6" t="s">
        <v>77</v>
      </c>
      <c r="C21" s="6" t="s">
        <v>90</v>
      </c>
      <c r="D21" s="6" t="s">
        <v>139</v>
      </c>
      <c r="E21" s="10">
        <v>46535</v>
      </c>
      <c r="F21" s="5">
        <f ca="1">Tracker_All[[#This Row],[تاريخ الانتهاء]]-TODAY()</f>
        <v>339</v>
      </c>
      <c r="G21" s="4">
        <f t="shared" si="0"/>
        <v>46505</v>
      </c>
      <c r="H21" s="6" t="str">
        <f t="shared" ca="1" si="1"/>
        <v>ساري</v>
      </c>
      <c r="I21" s="6" t="str">
        <f t="shared" ca="1" si="2"/>
        <v>منخفضة</v>
      </c>
      <c r="J21" s="6" t="s">
        <v>75</v>
      </c>
      <c r="K21" s="6" t="s">
        <v>140</v>
      </c>
    </row>
    <row r="22" spans="1:18" ht="14.25" customHeight="1">
      <c r="A22" s="6" t="s">
        <v>71</v>
      </c>
      <c r="B22" s="6" t="s">
        <v>77</v>
      </c>
      <c r="C22" s="6" t="s">
        <v>103</v>
      </c>
      <c r="D22" s="6" t="s">
        <v>141</v>
      </c>
      <c r="E22" s="10">
        <v>46554</v>
      </c>
      <c r="F22" s="5">
        <f ca="1">Tracker_All[[#This Row],[تاريخ الانتهاء]]-TODAY()</f>
        <v>358</v>
      </c>
      <c r="G22" s="4">
        <f t="shared" si="0"/>
        <v>46524</v>
      </c>
      <c r="H22" s="6" t="str">
        <f t="shared" ca="1" si="1"/>
        <v>ساري</v>
      </c>
      <c r="I22" s="6" t="str">
        <f t="shared" ca="1" si="2"/>
        <v>منخفضة</v>
      </c>
      <c r="J22" s="6" t="s">
        <v>75</v>
      </c>
      <c r="K22" s="6" t="s">
        <v>142</v>
      </c>
    </row>
    <row r="23" spans="1:18" ht="14.25" customHeight="1">
      <c r="A23" s="11" t="s">
        <v>18</v>
      </c>
      <c r="B23" s="11" t="s">
        <v>106</v>
      </c>
      <c r="C23" s="11" t="s">
        <v>107</v>
      </c>
      <c r="D23" s="11" t="s">
        <v>143</v>
      </c>
      <c r="E23" s="11"/>
      <c r="F23" s="12"/>
      <c r="G23" s="4" t="str">
        <f t="shared" si="0"/>
        <v/>
      </c>
      <c r="H23" s="6" t="str">
        <f t="shared" si="1"/>
        <v>بدون تاريخ</v>
      </c>
      <c r="I23" s="6" t="str">
        <f t="shared" si="2"/>
        <v>مراجعة مطلوبة</v>
      </c>
      <c r="J23" s="11" t="s">
        <v>21</v>
      </c>
      <c r="K23" s="11"/>
    </row>
    <row r="24" spans="1:18" ht="14.25" customHeight="1">
      <c r="A24" s="11" t="s">
        <v>18</v>
      </c>
      <c r="B24" s="11" t="s">
        <v>144</v>
      </c>
      <c r="C24" s="11" t="s">
        <v>145</v>
      </c>
      <c r="D24" s="11" t="s">
        <v>146</v>
      </c>
      <c r="E24" s="11"/>
      <c r="F24" s="12"/>
      <c r="G24" s="4" t="str">
        <f t="shared" si="0"/>
        <v/>
      </c>
      <c r="H24" s="6" t="str">
        <f t="shared" si="1"/>
        <v>بدون تاريخ</v>
      </c>
      <c r="I24" s="6" t="str">
        <f t="shared" si="2"/>
        <v>مراجعة مطلوبة</v>
      </c>
      <c r="J24" s="11" t="s">
        <v>21</v>
      </c>
      <c r="K24" s="11" t="s">
        <v>147</v>
      </c>
    </row>
    <row r="25" spans="1:18" ht="14.25" customHeight="1">
      <c r="A25" s="11" t="s">
        <v>71</v>
      </c>
      <c r="B25" s="11" t="s">
        <v>72</v>
      </c>
      <c r="C25" s="11" t="s">
        <v>78</v>
      </c>
      <c r="D25" s="11" t="s">
        <v>148</v>
      </c>
      <c r="E25" s="10">
        <v>46215</v>
      </c>
      <c r="F25" s="5">
        <f ca="1">Tracker_All[[#This Row],[تاريخ الانتهاء]]-TODAY()</f>
        <v>19</v>
      </c>
      <c r="G25" s="4">
        <f t="shared" si="0"/>
        <v>46185</v>
      </c>
      <c r="H25" s="6" t="str">
        <f t="shared" ca="1" si="1"/>
        <v>حرج</v>
      </c>
      <c r="I25" s="6" t="str">
        <f t="shared" ca="1" si="2"/>
        <v>عالية</v>
      </c>
      <c r="J25" s="11" t="s">
        <v>75</v>
      </c>
      <c r="K25" s="11" t="s">
        <v>76</v>
      </c>
    </row>
    <row r="26" spans="1:18" ht="14.25" customHeight="1">
      <c r="A26" s="11" t="s">
        <v>18</v>
      </c>
      <c r="B26" s="11" t="s">
        <v>144</v>
      </c>
      <c r="C26" s="11" t="s">
        <v>145</v>
      </c>
      <c r="D26" s="11" t="s">
        <v>146</v>
      </c>
      <c r="E26" s="11"/>
      <c r="F26" s="12"/>
      <c r="G26" s="4" t="str">
        <f t="shared" si="0"/>
        <v/>
      </c>
      <c r="H26" s="6" t="str">
        <f t="shared" si="1"/>
        <v>بدون تاريخ</v>
      </c>
      <c r="I26" s="6" t="str">
        <f t="shared" si="2"/>
        <v>مراجعة مطلوبة</v>
      </c>
      <c r="J26" s="11" t="s">
        <v>21</v>
      </c>
      <c r="K26" s="11" t="s">
        <v>147</v>
      </c>
    </row>
    <row r="27" spans="1:18" ht="14.25" customHeight="1">
      <c r="A27" s="6" t="s">
        <v>18</v>
      </c>
      <c r="B27" s="6" t="s">
        <v>149</v>
      </c>
      <c r="C27" s="6" t="s">
        <v>150</v>
      </c>
      <c r="D27" s="6" t="s">
        <v>150</v>
      </c>
      <c r="E27" s="10">
        <v>46398</v>
      </c>
      <c r="F27" s="5">
        <f ca="1">E27-TODAY()</f>
        <v>202</v>
      </c>
      <c r="G27" s="4">
        <f t="shared" si="0"/>
        <v>46368</v>
      </c>
      <c r="H27" s="6" t="str">
        <f t="shared" ca="1" si="1"/>
        <v>ساري</v>
      </c>
      <c r="I27" s="6" t="str">
        <f t="shared" ca="1" si="2"/>
        <v>منخفضة</v>
      </c>
      <c r="J27" s="6" t="s">
        <v>21</v>
      </c>
      <c r="K27" s="6" t="s">
        <v>32</v>
      </c>
    </row>
    <row r="28" spans="1:18" ht="14.25" customHeight="1">
      <c r="A28" s="8" t="s">
        <v>18</v>
      </c>
      <c r="B28" s="8" t="s">
        <v>81</v>
      </c>
      <c r="C28" s="8" t="s">
        <v>82</v>
      </c>
      <c r="D28" s="8" t="s">
        <v>151</v>
      </c>
      <c r="E28" s="9">
        <v>46526</v>
      </c>
      <c r="F28" s="5">
        <f ca="1">E28-TODAY()</f>
        <v>330</v>
      </c>
      <c r="G28" s="4">
        <f t="shared" si="0"/>
        <v>46496</v>
      </c>
      <c r="H28" s="13" t="str">
        <f t="shared" ca="1" si="1"/>
        <v>ساري</v>
      </c>
      <c r="I28" s="13" t="str">
        <f t="shared" ca="1" si="2"/>
        <v>منخفضة</v>
      </c>
      <c r="J28" s="8" t="s">
        <v>21</v>
      </c>
      <c r="K28" s="8" t="s">
        <v>32</v>
      </c>
      <c r="L28" s="7" t="s">
        <v>84</v>
      </c>
      <c r="M28" s="7" t="s">
        <v>85</v>
      </c>
      <c r="N28" s="7" t="s">
        <v>152</v>
      </c>
      <c r="O28" t="s">
        <v>87</v>
      </c>
      <c r="P28" t="s">
        <v>153</v>
      </c>
      <c r="Q28" t="s">
        <v>27</v>
      </c>
      <c r="R28" s="7" t="s">
        <v>136</v>
      </c>
    </row>
    <row r="29" spans="1:18">
      <c r="A29" s="7" t="s">
        <v>18</v>
      </c>
      <c r="B29" t="s">
        <v>154</v>
      </c>
      <c r="C29" t="s">
        <v>20</v>
      </c>
      <c r="D29" t="s">
        <v>155</v>
      </c>
      <c r="G29" t="str">
        <f t="shared" si="0"/>
        <v/>
      </c>
      <c r="H29" t="str">
        <f t="shared" si="1"/>
        <v>بدون تاريخ</v>
      </c>
      <c r="I29" t="str">
        <f t="shared" si="2"/>
        <v>مراجعة مطلوبة</v>
      </c>
      <c r="J29" t="s">
        <v>21</v>
      </c>
      <c r="K29" t="s">
        <v>32</v>
      </c>
      <c r="L29" s="7" t="s">
        <v>156</v>
      </c>
      <c r="M29" s="7" t="s">
        <v>23</v>
      </c>
      <c r="N29" s="7" t="s">
        <v>157</v>
      </c>
      <c r="O29" t="s">
        <v>158</v>
      </c>
      <c r="P29" t="s">
        <v>159</v>
      </c>
      <c r="Q29" t="s">
        <v>27</v>
      </c>
      <c r="R29" t="s">
        <v>160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zoomScaleNormal="100" workbookViewId="0"/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4"/>
      <c r="B1" s="15"/>
    </row>
    <row r="2" spans="1:2" ht="14.25" customHeight="1">
      <c r="A2" s="14"/>
      <c r="B2" s="16" t="s">
        <v>161</v>
      </c>
    </row>
    <row r="3" spans="1:2" ht="14.25" customHeight="1">
      <c r="A3" s="14"/>
      <c r="B3" s="15"/>
    </row>
    <row r="4" spans="1:2" ht="14.25" customHeight="1">
      <c r="A4" s="14" t="s">
        <v>162</v>
      </c>
      <c r="B4" s="15" t="s">
        <v>163</v>
      </c>
    </row>
    <row r="5" spans="1:2" ht="14.25" customHeight="1">
      <c r="A5" s="14" t="s">
        <v>164</v>
      </c>
      <c r="B5" s="15" t="s">
        <v>165</v>
      </c>
    </row>
    <row r="6" spans="1:2" ht="14.25" customHeight="1">
      <c r="A6" s="14" t="s">
        <v>166</v>
      </c>
      <c r="B6" s="15" t="s">
        <v>167</v>
      </c>
    </row>
    <row r="7" spans="1:2" ht="14.25" customHeight="1">
      <c r="A7" s="14" t="s">
        <v>168</v>
      </c>
      <c r="B7" s="15" t="s">
        <v>169</v>
      </c>
    </row>
    <row r="8" spans="1:2" ht="14.25" customHeight="1">
      <c r="A8" s="14" t="s">
        <v>170</v>
      </c>
      <c r="B8" s="15" t="s">
        <v>171</v>
      </c>
    </row>
    <row r="9" spans="1:2" ht="14.25" customHeight="1">
      <c r="A9" s="14"/>
      <c r="B9" s="15"/>
    </row>
    <row r="10" spans="1:2" ht="14.25" customHeight="1">
      <c r="A10" s="14"/>
      <c r="B10" s="17" t="s">
        <v>172</v>
      </c>
    </row>
    <row r="11" spans="1:2" ht="14.25" customHeight="1">
      <c r="A11" s="14"/>
      <c r="B11" s="15"/>
    </row>
    <row r="12" spans="1:2" ht="14.25" customHeight="1">
      <c r="A12" s="14"/>
      <c r="B12" s="17" t="s">
        <v>173</v>
      </c>
    </row>
    <row r="13" spans="1:2" ht="14.25" customHeight="1">
      <c r="A13" s="14"/>
      <c r="B13" s="15"/>
    </row>
    <row r="14" spans="1:2" ht="14.25" customHeight="1">
      <c r="A14" s="14"/>
      <c r="B14" s="17" t="s">
        <v>174</v>
      </c>
    </row>
    <row r="15" spans="1:2" ht="14.25" customHeight="1">
      <c r="A15" s="14"/>
      <c r="B15" s="15"/>
    </row>
    <row r="16" spans="1:2" ht="14.25" customHeight="1">
      <c r="A16" s="14"/>
      <c r="B16" s="17" t="s">
        <v>175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2026-06-23T12:11:32Z</dcterms:modified>
  <dc:language>en-US</dc:language>
</cp:coreProperties>
</file>