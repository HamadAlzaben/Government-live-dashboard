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12" documentId="13_ncr:1_{A9DB5D68-FAF6-475D-815D-D63DA13F66D7}" xr6:coauthVersionLast="47" xr6:coauthVersionMax="47" xr10:uidLastSave="{A8DBEEC2-28AA-48F2-8239-7F356D162855}"/>
  <bookViews>
    <workbookView xWindow="-110" yWindow="-110" windowWidth="19420" windowHeight="1150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" l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H19" i="1" l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<sst xmlns="http://schemas.openxmlformats.org/spreadsheetml/2006/main" count="251" uniqueCount="159">
  <si>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</si>
  <si>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</si>
  <si>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</si>
  <si>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</si>
  <si>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</si>
  <si>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</si>
  <si>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</si>
  <si>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</si>
  <si>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</si>
  <si>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</si>
  <si>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</si>
  <si>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</si>
  <si>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</si>
  <si>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</si>
  <si>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</si>
  <si>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</si>
  <si>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</si>
  <si>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</si>
  <si>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</si>
  <si>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</si>
  <si>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</si>
  <si>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</si>
  <si>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</si>
  <si>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</si>
  <si>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</si>
  <si>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</si>
  <si>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</si>
  <si>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</si>
  <si>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</si>
  <si>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</si>
  <si>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</si>
  <si>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</si>
  <si>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</si>
  <si>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</si>
  <si>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</si>
  <si>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</si>
  <si>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</si>
  <si>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</si>
  <si>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</si>
  <si>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</si>
  <si>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</si>
  <si>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</si>
  <si>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</si>
  <si>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</si>
  <si>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</si>
  <si>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</si>
  <si>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</si>
  <si>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</si>
  <si>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</si>
  <si>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</si>
  <si>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</si>
  <si>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</si>
  <si>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</si>
  <si>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</si>
  <si>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</si>
  <si>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</si>
  <si>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</si>
  <si>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</si>
  <si>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</si>
  <si>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</si>
  <si>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</si>
  <si>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</si>
  <si>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</si>
  <si>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</si>
  <si>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</si>
  <si>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</si>
  <si>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</si>
  <si>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</si>
  <si>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</si>
  <si>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</si>
  <si>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</si>
  <si>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</si>
  <si>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</si>
  <si>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</si>
  <si>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</si>
  <si>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</si>
  <si>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</si>
  <si>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</si>
  <si>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</si>
  <si>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</si>
  <si>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</si>
  <si>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</si>
  <si>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</si>
  <si>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</si>
  <si>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</si>
  <si>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</si>
  <si>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</si>
  <si>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</si>
  <si>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</si>
  <si>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</si>
  <si>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</si>
  <si>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</si>
  <si>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</si>
  <si>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</si>
  <si>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</si>
  <si>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</si>
  <si>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</si>
  <si>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</si>
  <si>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</si>
  <si>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</si>
  <si>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</si>
  <si>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</si>
  <si>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</si>
  <si>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</si>
  <si>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</si>
  <si>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t>3/2/2026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</si>
  <si>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</si>
  <si>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</si>
  <si>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</si>
  <si>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</si>
  <si>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</si>
  <si>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</si>
  <si>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</si>
  <si>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</si>
  <si>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</si>
  <si>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</si>
  <si>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</si>
  <si>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</si>
  <si>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</si>
  <si>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</si>
  <si>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</si>
  <si>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</si>
  <si>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</si>
  <si>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</si>
  <si>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</si>
  <si>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</si>
  <si>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</si>
  <si>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</si>
  <si>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</si>
  <si>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</si>
  <si>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</si>
  <si>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</si>
  <si>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</si>
  <si>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</si>
  <si>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</si>
  <si>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</si>
  <si>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</si>
  <si>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</si>
  <si>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</si>
  <si>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</si>
  <si>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</si>
  <si>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</si>
  <si>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</si>
  <si>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</si>
  <si>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</si>
  <si>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</si>
  <si>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</si>
  <si>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</si>
  <si>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</si>
  <si>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</si>
  <si>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</si>
  <si>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</si>
  <si>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</si>
  <si>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</si>
  <si>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</si>
  <si>
    <r>
      <t>رقم الإثبات</t>
    </r>
    <r>
      <rPr>
        <sz val="11"/>
        <color theme="1"/>
        <rFont val="Calibri"/>
        <charset val="1"/>
      </rPr>
      <t>: 1080130933</t>
    </r>
  </si>
  <si>
    <t>رقم الإثبات: 1090961124</t>
  </si>
  <si>
    <t>Address Meirc Consulting Training.pdf</t>
  </si>
  <si>
    <t>Address Meirc Training Center.pdf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</si>
</sst>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"/>
  <sheetViews>
    <sheetView tabSelected="1" topLeftCell="K1" zoomScaleNormal="100" workbookViewId="0">
      <selection activeCell="P5" sqref="P5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250</v>
      </c>
      <c r="G2" s="4">
        <f t="shared" ref="G2:G20" si="0">IF(E2="","",E2-30)</f>
        <v>46477</v>
      </c>
      <c r="H2" s="6" t="str">
        <f t="shared" ref="H2:H20" ca="1" si="1">IF(E2="","بدون تاريخ",IF(F2&lt;0,"منتهي",IF(F2&lt;=30,"حرج",IF(F2&lt;=60,"قريب","ساري"))))</f>
        <v>ساري</v>
      </c>
      <c r="I2" s="6" t="str">
        <f t="shared" ref="I2:I20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38</v>
      </c>
      <c r="G3" s="4">
        <f t="shared" si="0"/>
        <v>46265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38</v>
      </c>
      <c r="G4" s="4">
        <f t="shared" si="0"/>
        <v>46265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154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275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275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694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269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195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153</v>
      </c>
      <c r="E10" s="10">
        <v>46284</v>
      </c>
      <c r="F10" s="5">
        <f ca="1">Tracker_All[[#This Row],[تاريخ الانتهاء]]-TODAY()</f>
        <v>27</v>
      </c>
      <c r="G10" s="4">
        <f t="shared" si="0"/>
        <v>46254</v>
      </c>
      <c r="H10" s="6" t="str">
        <f t="shared" ca="1" si="1"/>
        <v>حرج</v>
      </c>
      <c r="I10" s="6" t="str">
        <f t="shared" ca="1" si="2"/>
        <v>عالية</v>
      </c>
      <c r="J10" s="6" t="s">
        <v>21</v>
      </c>
      <c r="K10" s="6"/>
      <c r="L10" s="7" t="s">
        <v>91</v>
      </c>
      <c r="M10" s="7" t="s">
        <v>92</v>
      </c>
      <c r="N10" s="7" t="s">
        <v>93</v>
      </c>
      <c r="O10" t="s">
        <v>94</v>
      </c>
      <c r="P10" t="s">
        <v>95</v>
      </c>
      <c r="Q10" t="s">
        <v>42</v>
      </c>
      <c r="R10" s="7" t="s">
        <v>96</v>
      </c>
    </row>
    <row r="11" spans="1:18" ht="14.25" customHeight="1">
      <c r="A11" s="6" t="s">
        <v>70</v>
      </c>
      <c r="B11" s="6" t="s">
        <v>71</v>
      </c>
      <c r="C11" s="6" t="s">
        <v>97</v>
      </c>
      <c r="D11" s="6" t="s">
        <v>98</v>
      </c>
      <c r="E11" s="10">
        <v>46469</v>
      </c>
      <c r="F11" s="5">
        <f ca="1">Tracker_All[[#This Row],[تاريخ الانتهاء]]-TODAY()</f>
        <v>212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99</v>
      </c>
    </row>
    <row r="12" spans="1:18" ht="14.25" customHeight="1">
      <c r="A12" s="6" t="s">
        <v>18</v>
      </c>
      <c r="B12" s="6" t="s">
        <v>100</v>
      </c>
      <c r="C12" s="6" t="s">
        <v>101</v>
      </c>
      <c r="D12" s="6" t="s">
        <v>131</v>
      </c>
      <c r="E12" s="10">
        <v>46419</v>
      </c>
      <c r="F12" s="5">
        <f ca="1">Tracker_All[[#This Row],[تاريخ الانتهاء]]-TODAY()</f>
        <v>162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103</v>
      </c>
      <c r="M12" s="7" t="s">
        <v>104</v>
      </c>
      <c r="N12" s="7" t="s">
        <v>156</v>
      </c>
      <c r="O12" t="s">
        <v>105</v>
      </c>
      <c r="P12" t="s">
        <v>157</v>
      </c>
      <c r="Q12" t="s">
        <v>27</v>
      </c>
      <c r="R12" t="s">
        <v>106</v>
      </c>
    </row>
    <row r="13" spans="1:18" ht="14.25" customHeight="1">
      <c r="A13" s="6" t="s">
        <v>18</v>
      </c>
      <c r="B13" s="6" t="s">
        <v>100</v>
      </c>
      <c r="C13" s="6" t="s">
        <v>101</v>
      </c>
      <c r="D13" s="6" t="s">
        <v>102</v>
      </c>
      <c r="E13" s="10">
        <v>46419</v>
      </c>
      <c r="F13" s="5">
        <f ca="1">Tracker_All[[#This Row],[تاريخ الانتهاء]]-TODAY()</f>
        <v>162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103</v>
      </c>
      <c r="M13" s="7" t="s">
        <v>104</v>
      </c>
      <c r="N13" s="7" t="s">
        <v>155</v>
      </c>
      <c r="O13" t="s">
        <v>105</v>
      </c>
      <c r="P13" t="s">
        <v>158</v>
      </c>
      <c r="Q13" t="s">
        <v>42</v>
      </c>
      <c r="R13" t="s">
        <v>106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107</v>
      </c>
      <c r="E14" s="10">
        <v>46391</v>
      </c>
      <c r="F14" s="5">
        <f ca="1">Tracker_All[[#This Row],[تاريخ الانتهاء]]-TODAY()</f>
        <v>134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108</v>
      </c>
      <c r="O14" t="s">
        <v>109</v>
      </c>
      <c r="P14" t="s">
        <v>110</v>
      </c>
      <c r="Q14" t="s">
        <v>42</v>
      </c>
      <c r="R14" t="s">
        <v>111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112</v>
      </c>
      <c r="E15" s="10">
        <v>46391</v>
      </c>
      <c r="F15" s="5">
        <f ca="1">Tracker_All[[#This Row],[تاريخ الانتهاء]]-TODAY()</f>
        <v>134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113</v>
      </c>
      <c r="M15" s="7" t="s">
        <v>58</v>
      </c>
      <c r="N15" s="7" t="s">
        <v>114</v>
      </c>
      <c r="O15" t="s">
        <v>115</v>
      </c>
      <c r="P15" t="s">
        <v>116</v>
      </c>
      <c r="Q15" t="s">
        <v>42</v>
      </c>
      <c r="R15" s="7" t="s">
        <v>117</v>
      </c>
    </row>
    <row r="16" spans="1:18" ht="14.25" customHeight="1">
      <c r="A16" s="6" t="s">
        <v>18</v>
      </c>
      <c r="B16" s="6" t="s">
        <v>118</v>
      </c>
      <c r="C16" s="6" t="s">
        <v>119</v>
      </c>
      <c r="D16" s="6" t="s">
        <v>120</v>
      </c>
      <c r="E16" s="10">
        <v>46396</v>
      </c>
      <c r="F16" s="5">
        <f ca="1">Tracker_All[[#This Row],[تاريخ الانتهاء]]-TODAY()</f>
        <v>139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121</v>
      </c>
      <c r="M16" s="7" t="s">
        <v>122</v>
      </c>
      <c r="N16" s="7" t="s">
        <v>123</v>
      </c>
      <c r="O16" t="s">
        <v>124</v>
      </c>
      <c r="P16" t="s">
        <v>125</v>
      </c>
      <c r="Q16" t="s">
        <v>27</v>
      </c>
      <c r="R16" s="7" t="s">
        <v>126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127</v>
      </c>
      <c r="E17" s="10">
        <v>46535</v>
      </c>
      <c r="F17" s="5">
        <f ca="1">Tracker_All[[#This Row],[تاريخ الانتهاء]]-TODAY()</f>
        <v>278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128</v>
      </c>
    </row>
    <row r="18" spans="1:18" ht="14.25" customHeight="1">
      <c r="A18" s="6" t="s">
        <v>70</v>
      </c>
      <c r="B18" s="6" t="s">
        <v>74</v>
      </c>
      <c r="C18" s="6" t="s">
        <v>97</v>
      </c>
      <c r="D18" s="6" t="s">
        <v>129</v>
      </c>
      <c r="E18" s="10">
        <v>46554</v>
      </c>
      <c r="F18" s="5">
        <f ca="1">Tracker_All[[#This Row],[تاريخ الانتهاء]]-TODAY()</f>
        <v>297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130</v>
      </c>
    </row>
    <row r="19" spans="1:18" ht="14.25" customHeight="1">
      <c r="A19" s="6" t="s">
        <v>18</v>
      </c>
      <c r="B19" s="6" t="s">
        <v>133</v>
      </c>
      <c r="C19" s="6" t="s">
        <v>134</v>
      </c>
      <c r="D19" s="6" t="s">
        <v>134</v>
      </c>
      <c r="E19" s="10">
        <v>46398</v>
      </c>
      <c r="F19" s="5">
        <f ca="1">E19-TODAY()</f>
        <v>141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78</v>
      </c>
      <c r="C20" s="8" t="s">
        <v>79</v>
      </c>
      <c r="D20" s="8" t="s">
        <v>135</v>
      </c>
      <c r="E20" s="9">
        <v>46526</v>
      </c>
      <c r="F20" s="5">
        <f ca="1">E20-TODAY()</f>
        <v>269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81</v>
      </c>
      <c r="M20" s="7" t="s">
        <v>82</v>
      </c>
      <c r="N20" s="7" t="s">
        <v>136</v>
      </c>
      <c r="O20" t="s">
        <v>84</v>
      </c>
      <c r="P20" t="s">
        <v>137</v>
      </c>
      <c r="Q20" t="s">
        <v>27</v>
      </c>
      <c r="R20" s="7" t="s">
        <v>126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138</v>
      </c>
    </row>
    <row r="3" spans="1:2" ht="14.25" customHeight="1">
      <c r="A3" s="13"/>
      <c r="B3" s="14"/>
    </row>
    <row r="4" spans="1:2" ht="14.25" customHeight="1">
      <c r="A4" s="13" t="s">
        <v>139</v>
      </c>
      <c r="B4" s="14" t="s">
        <v>140</v>
      </c>
    </row>
    <row r="5" spans="1:2" ht="14.25" customHeight="1">
      <c r="A5" s="13" t="s">
        <v>141</v>
      </c>
      <c r="B5" s="14" t="s">
        <v>142</v>
      </c>
    </row>
    <row r="6" spans="1:2" ht="14.25" customHeight="1">
      <c r="A6" s="13" t="s">
        <v>143</v>
      </c>
      <c r="B6" s="14" t="s">
        <v>144</v>
      </c>
    </row>
    <row r="7" spans="1:2" ht="14.25" customHeight="1">
      <c r="A7" s="13" t="s">
        <v>145</v>
      </c>
      <c r="B7" s="14" t="s">
        <v>146</v>
      </c>
    </row>
    <row r="8" spans="1:2" ht="14.25" customHeight="1">
      <c r="A8" s="13" t="s">
        <v>147</v>
      </c>
      <c r="B8" s="14" t="s">
        <v>148</v>
      </c>
    </row>
    <row r="9" spans="1:2" ht="14.25" customHeight="1">
      <c r="A9" s="13"/>
      <c r="B9" s="14"/>
    </row>
    <row r="10" spans="1:2" ht="14.25" customHeight="1">
      <c r="A10" s="13"/>
      <c r="B10" s="16" t="s">
        <v>149</v>
      </c>
    </row>
    <row r="11" spans="1:2" ht="14.25" customHeight="1">
      <c r="A11" s="13"/>
      <c r="B11" s="14"/>
    </row>
    <row r="12" spans="1:2" ht="14.25" customHeight="1">
      <c r="A12" s="13"/>
      <c r="B12" s="16" t="s">
        <v>150</v>
      </c>
    </row>
    <row r="13" spans="1:2" ht="14.25" customHeight="1">
      <c r="A13" s="13"/>
      <c r="B13" s="14"/>
    </row>
    <row r="14" spans="1:2" ht="14.25" customHeight="1">
      <c r="A14" s="13"/>
      <c r="B14" s="16" t="s">
        <v>151</v>
      </c>
    </row>
    <row r="15" spans="1:2" ht="14.25" customHeight="1">
      <c r="A15" s="13"/>
      <c r="B15" s="14"/>
    </row>
    <row r="16" spans="1:2" ht="14.25" customHeight="1">
      <c r="A16" s="13"/>
      <c r="B16" s="16" t="s">
        <v>152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132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2026-08-23T10:17:59Z</dcterms:modified>
  <dc:language>en-US</dc:language>
</cp:coreProperties>
</file>